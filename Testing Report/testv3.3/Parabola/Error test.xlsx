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ibrary\Course\NPDE\Homework\Week1\Testing Report\testv3.3\Parabola\"/>
    </mc:Choice>
  </mc:AlternateContent>
  <xr:revisionPtr revIDLastSave="0" documentId="13_ncr:1_{CDB71650-87B4-4BCD-B927-F260F4A6CAB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3" i="1" l="1"/>
  <c r="K183" i="1"/>
  <c r="L183" i="1"/>
  <c r="J184" i="1"/>
  <c r="K184" i="1"/>
  <c r="L184" i="1"/>
  <c r="J185" i="1"/>
  <c r="K185" i="1"/>
  <c r="L185" i="1"/>
  <c r="J186" i="1"/>
  <c r="K186" i="1"/>
  <c r="L186" i="1"/>
  <c r="K182" i="1"/>
  <c r="L182" i="1"/>
  <c r="J182" i="1"/>
  <c r="T4" i="1"/>
  <c r="T5" i="1"/>
  <c r="T6" i="1"/>
  <c r="T7" i="1"/>
  <c r="S4" i="1"/>
  <c r="S5" i="1"/>
  <c r="S6" i="1"/>
  <c r="S7" i="1"/>
  <c r="R4" i="1"/>
  <c r="R5" i="1"/>
  <c r="R6" i="1"/>
  <c r="R7" i="1"/>
  <c r="T3" i="1"/>
  <c r="S3" i="1"/>
  <c r="R3" i="1"/>
  <c r="K149" i="1"/>
  <c r="J149" i="1"/>
  <c r="L149" i="1"/>
  <c r="G153" i="1"/>
  <c r="L153" i="1"/>
  <c r="K153" i="1"/>
  <c r="J153" i="1"/>
  <c r="L152" i="1"/>
  <c r="K152" i="1"/>
  <c r="J152" i="1"/>
  <c r="L151" i="1"/>
  <c r="K151" i="1"/>
  <c r="J151" i="1"/>
  <c r="L150" i="1"/>
  <c r="K150" i="1"/>
  <c r="J150" i="1"/>
  <c r="G123" i="1"/>
  <c r="J123" i="1" s="1"/>
  <c r="G122" i="1"/>
  <c r="G121" i="1"/>
  <c r="G120" i="1"/>
  <c r="G119" i="1"/>
  <c r="G118" i="1"/>
  <c r="G117" i="1"/>
  <c r="J117" i="1" s="1"/>
  <c r="G116" i="1"/>
  <c r="J116" i="1" s="1"/>
  <c r="G115" i="1"/>
  <c r="J115" i="1" s="1"/>
  <c r="G114" i="1"/>
  <c r="J114" i="1" s="1"/>
  <c r="G113" i="1"/>
  <c r="J113" i="1" s="1"/>
  <c r="G112" i="1"/>
  <c r="G111" i="1"/>
  <c r="J111" i="1" s="1"/>
  <c r="G110" i="1"/>
  <c r="J110" i="1" s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L123" i="1"/>
  <c r="K123" i="1"/>
  <c r="L122" i="1"/>
  <c r="K122" i="1"/>
  <c r="J122" i="1"/>
  <c r="L121" i="1"/>
  <c r="K121" i="1"/>
  <c r="J121" i="1"/>
  <c r="L120" i="1"/>
  <c r="K120" i="1"/>
  <c r="J120" i="1"/>
  <c r="L119" i="1"/>
  <c r="K119" i="1"/>
  <c r="J119" i="1"/>
  <c r="L118" i="1"/>
  <c r="K118" i="1"/>
  <c r="J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J112" i="1"/>
  <c r="L111" i="1"/>
  <c r="K111" i="1"/>
  <c r="L110" i="1"/>
  <c r="K110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L35" i="1"/>
  <c r="K35" i="1"/>
  <c r="J35" i="1"/>
  <c r="L4" i="1"/>
  <c r="L5" i="1"/>
  <c r="L6" i="1"/>
  <c r="L7" i="1"/>
  <c r="L8" i="1"/>
  <c r="L9" i="1"/>
  <c r="L10" i="1"/>
  <c r="L11" i="1"/>
  <c r="L12" i="1"/>
  <c r="L13" i="1"/>
  <c r="L14" i="1"/>
  <c r="L15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3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A64" i="1"/>
  <c r="A65" i="1"/>
  <c r="A53" i="1"/>
  <c r="A54" i="1"/>
  <c r="A55" i="1"/>
  <c r="A56" i="1"/>
  <c r="A57" i="1"/>
  <c r="A58" i="1"/>
  <c r="A59" i="1"/>
  <c r="A60" i="1"/>
  <c r="A61" i="1"/>
  <c r="A62" i="1"/>
  <c r="A63" i="1"/>
  <c r="A52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A10" i="1"/>
  <c r="D14" i="1"/>
  <c r="D13" i="1"/>
  <c r="D11" i="1"/>
  <c r="D12" i="1"/>
  <c r="D8" i="1"/>
  <c r="A8" i="1"/>
  <c r="D6" i="1"/>
  <c r="A6" i="1"/>
  <c r="D10" i="1"/>
  <c r="D9" i="1"/>
  <c r="D7" i="1"/>
  <c r="A7" i="1"/>
  <c r="D5" i="1"/>
  <c r="D4" i="1"/>
  <c r="D3" i="1"/>
</calcChain>
</file>

<file path=xl/sharedStrings.xml><?xml version="1.0" encoding="utf-8"?>
<sst xmlns="http://schemas.openxmlformats.org/spreadsheetml/2006/main" count="49" uniqueCount="10">
  <si>
    <t>h</t>
    <phoneticPr fontId="1" type="noConversion"/>
  </si>
  <si>
    <t>dt</t>
    <phoneticPr fontId="1" type="noConversion"/>
  </si>
  <si>
    <t>error</t>
    <phoneticPr fontId="1" type="noConversion"/>
  </si>
  <si>
    <t>error2</t>
    <phoneticPr fontId="1" type="noConversion"/>
  </si>
  <si>
    <t>lnh</t>
    <phoneticPr fontId="1" type="noConversion"/>
  </si>
  <si>
    <t>lndt</t>
    <phoneticPr fontId="1" type="noConversion"/>
  </si>
  <si>
    <t>lnerror2</t>
    <phoneticPr fontId="1" type="noConversion"/>
  </si>
  <si>
    <t>CN Scheme Result</t>
    <phoneticPr fontId="1" type="noConversion"/>
  </si>
  <si>
    <t>Explcit Scheme Result</t>
    <phoneticPr fontId="1" type="noConversion"/>
  </si>
  <si>
    <t>delta test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</si>
</sst>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Sheet1!$K$3:$K$15</c:f>
              <c:numCache>
                <c:formatCode>General</c:formatCode>
                <c:ptCount val="13"/>
                <c:pt idx="0">
                  <c:v>-9.2103403719761818</c:v>
                </c:pt>
                <c:pt idx="1">
                  <c:v>-8.5171931914162382</c:v>
                </c:pt>
                <c:pt idx="2">
                  <c:v>-7.8240460108562919</c:v>
                </c:pt>
                <c:pt idx="3">
                  <c:v>-7.1308988302963465</c:v>
                </c:pt>
                <c:pt idx="4">
                  <c:v>-6.9077552789821368</c:v>
                </c:pt>
                <c:pt idx="5">
                  <c:v>-6.2146080984221914</c:v>
                </c:pt>
                <c:pt idx="6">
                  <c:v>-5.521460917862246</c:v>
                </c:pt>
                <c:pt idx="7">
                  <c:v>-4.8283137373023015</c:v>
                </c:pt>
                <c:pt idx="8">
                  <c:v>-4.6051701859880909</c:v>
                </c:pt>
                <c:pt idx="9">
                  <c:v>-3.912023005428146</c:v>
                </c:pt>
                <c:pt idx="10">
                  <c:v>-3.2188758248682006</c:v>
                </c:pt>
                <c:pt idx="11">
                  <c:v>-2.9957322735539909</c:v>
                </c:pt>
                <c:pt idx="12">
                  <c:v>-2.3025850929940455</c:v>
                </c:pt>
              </c:numCache>
            </c:numRef>
          </c:xVal>
          <c:yVal>
            <c:numRef>
              <c:f>Sheet1!$L$3:$L$15</c:f>
              <c:numCache>
                <c:formatCode>General</c:formatCode>
                <c:ptCount val="13"/>
                <c:pt idx="0">
                  <c:v>-11.405983200936197</c:v>
                </c:pt>
                <c:pt idx="1">
                  <c:v>-10.924711113761161</c:v>
                </c:pt>
                <c:pt idx="2">
                  <c:v>-10.325280232944298</c:v>
                </c:pt>
                <c:pt idx="3">
                  <c:v>-9.6029963681554147</c:v>
                </c:pt>
                <c:pt idx="4">
                  <c:v>-9.3800426873817617</c:v>
                </c:pt>
                <c:pt idx="5">
                  <c:v>-8.6843227334716957</c:v>
                </c:pt>
                <c:pt idx="6">
                  <c:v>-7.9885433667377681</c:v>
                </c:pt>
                <c:pt idx="7">
                  <c:v>-7.2927841370460076</c:v>
                </c:pt>
                <c:pt idx="8">
                  <c:v>-7.068668439593595</c:v>
                </c:pt>
                <c:pt idx="9">
                  <c:v>-6.3713788743721409</c:v>
                </c:pt>
                <c:pt idx="10">
                  <c:v>-5.6715079458647013</c:v>
                </c:pt>
                <c:pt idx="11">
                  <c:v>-5.4436021316716774</c:v>
                </c:pt>
                <c:pt idx="12">
                  <c:v>-4.7306302396823963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0-4F51-8DCA-88BB3431AC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015631"/>
        <c:axId val="443016111"/>
      </c:scatterChart>
      <c:valAx>
        <c:axId val="4430156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016111"/>
        <c:crosses val="autoZero"/>
        <c:crossBetween val="midCat"/>
      </c:valAx>
      <c:valAx>
        <c:axId val="44301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30156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lnerror2-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Sheet1!$L$34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Sheet1!$K$35:$K$48</c:f>
              <c:numCache>
                <c:formatCode>General</c:formatCode>
                <c:ptCount val="14"/>
                <c:pt idx="0">
                  <c:v>-9.2103403719761818</c:v>
                </c:pt>
                <c:pt idx="1">
                  <c:v>-8.5171931914162382</c:v>
                </c:pt>
                <c:pt idx="2">
                  <c:v>-7.8240460108562919</c:v>
                </c:pt>
                <c:pt idx="3">
                  <c:v>-7.1308988302963465</c:v>
                </c:pt>
                <c:pt idx="4">
                  <c:v>-6.9077552789821368</c:v>
                </c:pt>
                <c:pt idx="5">
                  <c:v>-6.2146080984221914</c:v>
                </c:pt>
                <c:pt idx="6">
                  <c:v>-5.521460917862246</c:v>
                </c:pt>
                <c:pt idx="7">
                  <c:v>-4.8283137373023015</c:v>
                </c:pt>
                <c:pt idx="8">
                  <c:v>-4.6051701859880909</c:v>
                </c:pt>
                <c:pt idx="9">
                  <c:v>-3.912023005428146</c:v>
                </c:pt>
                <c:pt idx="10">
                  <c:v>-3.2188758248682006</c:v>
                </c:pt>
                <c:pt idx="11">
                  <c:v>-2.9957322735539909</c:v>
                </c:pt>
                <c:pt idx="12">
                  <c:v>-2.3025850929940455</c:v>
                </c:pt>
                <c:pt idx="13">
                  <c:v>-1.6094379124341003</c:v>
                </c:pt>
              </c:numCache>
            </c:numRef>
          </c:xVal>
          <c:yVal>
            <c:numRef>
              <c:f>Sheet1!$L$35:$L$48</c:f>
              <c:numCache>
                <c:formatCode>General</c:formatCode>
                <c:ptCount val="14"/>
                <c:pt idx="0">
                  <c:v>-10.789443084614209</c:v>
                </c:pt>
                <c:pt idx="1">
                  <c:v>-10.54176025879485</c:v>
                </c:pt>
                <c:pt idx="2">
                  <c:v>-9.820831646856</c:v>
                </c:pt>
                <c:pt idx="3">
                  <c:v>-9.084483352163355</c:v>
                </c:pt>
                <c:pt idx="4">
                  <c:v>-8.8524142111358923</c:v>
                </c:pt>
                <c:pt idx="5">
                  <c:v>-8.1397298317206666</c:v>
                </c:pt>
                <c:pt idx="6">
                  <c:v>-7.4360848739796044</c:v>
                </c:pt>
                <c:pt idx="7">
                  <c:v>-6.7361998023410221</c:v>
                </c:pt>
                <c:pt idx="8">
                  <c:v>-6.511250192245484</c:v>
                </c:pt>
                <c:pt idx="9">
                  <c:v>-5.812297962007329</c:v>
                </c:pt>
                <c:pt idx="10">
                  <c:v>-5.1112985259524599</c:v>
                </c:pt>
                <c:pt idx="11">
                  <c:v>-4.8834050244157234</c:v>
                </c:pt>
                <c:pt idx="12">
                  <c:v>-4.1696933038119557</c:v>
                </c:pt>
                <c:pt idx="13">
                  <c:v>-3.4605048088604358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4F-4B4A-B31E-5628D9069C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199375"/>
        <c:axId val="1337200335"/>
      </c:scatterChart>
      <c:valAx>
        <c:axId val="1337199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200335"/>
        <c:crosses val="autoZero"/>
        <c:crossBetween val="midCat"/>
      </c:valAx>
      <c:valAx>
        <c:axId val="1337200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719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lnerror2-lndt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Sheet1!$L$68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Sheet1!$K$69:$K$82</c:f>
              <c:numCache>
                <c:formatCode>General</c:formatCode>
                <c:ptCount val="14"/>
                <c:pt idx="0">
                  <c:v>-9.2103403719761818</c:v>
                </c:pt>
                <c:pt idx="1">
                  <c:v>-8.5171931914162382</c:v>
                </c:pt>
                <c:pt idx="2">
                  <c:v>-7.8240460108562919</c:v>
                </c:pt>
                <c:pt idx="3">
                  <c:v>-7.1308988302963465</c:v>
                </c:pt>
                <c:pt idx="4">
                  <c:v>-6.9077552789821368</c:v>
                </c:pt>
                <c:pt idx="5">
                  <c:v>-6.2146080984221914</c:v>
                </c:pt>
                <c:pt idx="6">
                  <c:v>-5.521460917862246</c:v>
                </c:pt>
                <c:pt idx="7">
                  <c:v>-4.8283137373023015</c:v>
                </c:pt>
                <c:pt idx="8">
                  <c:v>-4.6051701859880909</c:v>
                </c:pt>
                <c:pt idx="9">
                  <c:v>-3.912023005428146</c:v>
                </c:pt>
                <c:pt idx="10">
                  <c:v>-3.2188758248682006</c:v>
                </c:pt>
                <c:pt idx="11">
                  <c:v>-2.9957322735539909</c:v>
                </c:pt>
                <c:pt idx="12">
                  <c:v>-2.3025850929940455</c:v>
                </c:pt>
                <c:pt idx="13">
                  <c:v>-1.6094379124341003</c:v>
                </c:pt>
              </c:numCache>
            </c:numRef>
          </c:xVal>
          <c:yVal>
            <c:numRef>
              <c:f>Sheet1!$L$69:$L$82</c:f>
              <c:numCache>
                <c:formatCode>General</c:formatCode>
                <c:ptCount val="14"/>
                <c:pt idx="0">
                  <c:v>-11.614727873760215</c:v>
                </c:pt>
                <c:pt idx="1">
                  <c:v>-11.614727873760215</c:v>
                </c:pt>
                <c:pt idx="2">
                  <c:v>-9.7781950061903959</c:v>
                </c:pt>
                <c:pt idx="3">
                  <c:v>-8.8772237591683325</c:v>
                </c:pt>
                <c:pt idx="4">
                  <c:v>-8.5943064441359613</c:v>
                </c:pt>
                <c:pt idx="5">
                  <c:v>-7.8235436370671385</c:v>
                </c:pt>
                <c:pt idx="6">
                  <c:v>-7.0902104447013663</c:v>
                </c:pt>
                <c:pt idx="7">
                  <c:v>-6.37455973799542</c:v>
                </c:pt>
                <c:pt idx="8">
                  <c:v>-6.1465570036010337</c:v>
                </c:pt>
                <c:pt idx="9">
                  <c:v>-5.4413797493898741</c:v>
                </c:pt>
                <c:pt idx="10">
                  <c:v>-4.7368849439786764</c:v>
                </c:pt>
                <c:pt idx="11">
                  <c:v>-4.5089694937168083</c:v>
                </c:pt>
                <c:pt idx="12">
                  <c:v>-3.7935868497677396</c:v>
                </c:pt>
                <c:pt idx="13">
                  <c:v>-3.0847536692784865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55-4BA0-BF00-6BE69DB76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0459727"/>
        <c:axId val="1240456367"/>
      </c:scatterChart>
      <c:valAx>
        <c:axId val="1240459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ln(dt)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0456367"/>
        <c:crosses val="autoZero"/>
        <c:crossBetween val="midCat"/>
      </c:valAx>
      <c:valAx>
        <c:axId val="1240456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ln(error^2)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04597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Sheet1!$L$109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Sheet1!$K$110:$K$123</c:f>
              <c:numCache>
                <c:formatCode>General</c:formatCode>
                <c:ptCount val="14"/>
                <c:pt idx="0">
                  <c:v>-9.2103403719761818</c:v>
                </c:pt>
                <c:pt idx="1">
                  <c:v>-8.5171931914162382</c:v>
                </c:pt>
                <c:pt idx="2">
                  <c:v>-7.8240460108562919</c:v>
                </c:pt>
                <c:pt idx="3">
                  <c:v>-7.1308988302963465</c:v>
                </c:pt>
                <c:pt idx="4">
                  <c:v>-6.9077552789821368</c:v>
                </c:pt>
                <c:pt idx="5">
                  <c:v>-6.2146080984221914</c:v>
                </c:pt>
                <c:pt idx="6">
                  <c:v>-5.521460917862246</c:v>
                </c:pt>
                <c:pt idx="7">
                  <c:v>-4.8283137373023015</c:v>
                </c:pt>
                <c:pt idx="8">
                  <c:v>-4.6051701859880909</c:v>
                </c:pt>
                <c:pt idx="9">
                  <c:v>-3.912023005428146</c:v>
                </c:pt>
                <c:pt idx="10">
                  <c:v>-3.2188758248682006</c:v>
                </c:pt>
                <c:pt idx="11">
                  <c:v>-2.9957322735539909</c:v>
                </c:pt>
                <c:pt idx="12">
                  <c:v>-2.3025850929940455</c:v>
                </c:pt>
                <c:pt idx="13">
                  <c:v>-1.6094379124341003</c:v>
                </c:pt>
              </c:numCache>
            </c:numRef>
          </c:xVal>
          <c:yVal>
            <c:numRef>
              <c:f>Sheet1!$L$110:$L$123</c:f>
              <c:numCache>
                <c:formatCode>General</c:formatCode>
                <c:ptCount val="14"/>
                <c:pt idx="0">
                  <c:v>-9.1693135984245853</c:v>
                </c:pt>
                <c:pt idx="1">
                  <c:v>-10.145971937789485</c:v>
                </c:pt>
                <c:pt idx="2">
                  <c:v>-9.7121187127780662</c:v>
                </c:pt>
                <c:pt idx="3">
                  <c:v>-9.3719103401155426</c:v>
                </c:pt>
                <c:pt idx="4">
                  <c:v>-8.9799431919506656</c:v>
                </c:pt>
                <c:pt idx="5">
                  <c:v>-7.9245212566781991</c:v>
                </c:pt>
                <c:pt idx="6">
                  <c:v>-7.0719544428127596</c:v>
                </c:pt>
                <c:pt idx="7">
                  <c:v>-6.3057753719263552</c:v>
                </c:pt>
                <c:pt idx="8">
                  <c:v>-6.0678230498068588</c:v>
                </c:pt>
                <c:pt idx="9">
                  <c:v>-5.3433377452958668</c:v>
                </c:pt>
                <c:pt idx="10">
                  <c:v>-4.6291565730144528</c:v>
                </c:pt>
                <c:pt idx="11">
                  <c:v>-4.3996205030749298</c:v>
                </c:pt>
                <c:pt idx="12">
                  <c:v>-3.6812724607921887</c:v>
                </c:pt>
                <c:pt idx="13">
                  <c:v>-2.9718028789696684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4F-4385-8BD3-525811F5F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8743983"/>
        <c:axId val="1398744463"/>
      </c:scatterChart>
      <c:valAx>
        <c:axId val="1398743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744463"/>
        <c:crosses val="autoZero"/>
        <c:crossBetween val="midCat"/>
      </c:valAx>
      <c:valAx>
        <c:axId val="139874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9874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lnerror2-lnh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Sheet1!$L$148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Sheet1!$J$149:$J$153</c:f>
              <c:numCache>
                <c:formatCode>General</c:formatCode>
                <c:ptCount val="5"/>
                <c:pt idx="0">
                  <c:v>-4.6051701859880909</c:v>
                </c:pt>
                <c:pt idx="1">
                  <c:v>-3.912023005428146</c:v>
                </c:pt>
                <c:pt idx="2">
                  <c:v>-3.2188758248682006</c:v>
                </c:pt>
                <c:pt idx="3">
                  <c:v>-2.5257286443082556</c:v>
                </c:pt>
                <c:pt idx="4">
                  <c:v>-1.791759469228055</c:v>
                </c:pt>
              </c:numCache>
            </c:numRef>
          </c:xVal>
          <c:yVal>
            <c:numRef>
              <c:f>Sheet1!$L$149:$L$153</c:f>
              <c:numCache>
                <c:formatCode>General</c:formatCode>
                <c:ptCount val="5"/>
                <c:pt idx="0">
                  <c:v>-7.6959254805804322</c:v>
                </c:pt>
                <c:pt idx="1">
                  <c:v>-7.068668439593595</c:v>
                </c:pt>
                <c:pt idx="2">
                  <c:v>-6.511250192245484</c:v>
                </c:pt>
                <c:pt idx="3">
                  <c:v>-6.1465570036010337</c:v>
                </c:pt>
                <c:pt idx="4">
                  <c:v>-6.0678230498068588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22-4065-9279-9D3F05F9E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965455"/>
        <c:axId val="1323964015"/>
      </c:scatterChart>
      <c:valAx>
        <c:axId val="1323965455"/>
        <c:scaling>
          <c:orientation val="minMax"/>
          <c:max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ln(h)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3964015"/>
        <c:crosses val="autoZero"/>
        <c:crossBetween val="midCat"/>
        <c:majorUnit val="0.2"/>
      </c:valAx>
      <c:valAx>
        <c:axId val="1323964015"/>
        <c:scaling>
          <c:orientation val="minMax"/>
          <c:max val="-6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ln(error^2)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239654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lnerror2 vs. lndt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Sheet1!$T$2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Sheet1!$S$3:$S$153</c:f>
              <c:numCache>
                <c:formatCode>General</c:formatCode>
                <c:ptCount val="151"/>
                <c:pt idx="0">
                  <c:v>-6.9077552789821368</c:v>
                </c:pt>
                <c:pt idx="1">
                  <c:v>-7.6009024595420822</c:v>
                </c:pt>
                <c:pt idx="2">
                  <c:v>-8.2940496401020276</c:v>
                </c:pt>
                <c:pt idx="3">
                  <c:v>-8.987196820661973</c:v>
                </c:pt>
                <c:pt idx="4">
                  <c:v>-9.6803440012219184</c:v>
                </c:pt>
              </c:numCache>
            </c:numRef>
          </c:xVal>
          <c:yVal>
            <c:numRef>
              <c:f>Sheet1!$T$3:$T$153</c:f>
              <c:numCache>
                <c:formatCode>General</c:formatCode>
                <c:ptCount val="151"/>
                <c:pt idx="0">
                  <c:v>-7.8715176696361091</c:v>
                </c:pt>
                <c:pt idx="1">
                  <c:v>-8.6593099040880741</c:v>
                </c:pt>
                <c:pt idx="2">
                  <c:v>-9.5522927974392058</c:v>
                </c:pt>
                <c:pt idx="3">
                  <c:v>-10.562913731051829</c:v>
                </c:pt>
                <c:pt idx="4">
                  <c:v>-10.692370603493783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9-4BF5-97A0-69705C590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9678208"/>
        <c:axId val="989685408"/>
      </c:scatterChart>
      <c:valAx>
        <c:axId val="989678208"/>
        <c:scaling>
          <c:orientation val="minMax"/>
          <c:max val="-6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lndt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685408"/>
        <c:crosses val="autoZero"/>
        <c:crossBetween val="midCat"/>
      </c:valAx>
      <c:valAx>
        <c:axId val="989685408"/>
        <c:scaling>
          <c:orientation val="minMax"/>
          <c:max val="-7"/>
          <c:min val="-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lnerror2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9678208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lnerror2 vs. dt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Sheet1!$L$181</c:f>
              <c:strCache>
                <c:ptCount val="1"/>
                <c:pt idx="0">
                  <c:v>lnerror2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Sheet1!$K$182:$K$186</c:f>
              <c:numCache>
                <c:formatCode>General</c:formatCode>
                <c:ptCount val="5"/>
                <c:pt idx="0">
                  <c:v>-2.3025850929940455</c:v>
                </c:pt>
                <c:pt idx="1">
                  <c:v>-2.9957322735539909</c:v>
                </c:pt>
                <c:pt idx="2">
                  <c:v>-3.6888794541139363</c:v>
                </c:pt>
                <c:pt idx="3">
                  <c:v>-4.3820266346738812</c:v>
                </c:pt>
                <c:pt idx="4">
                  <c:v>-5.0751738152338266</c:v>
                </c:pt>
              </c:numCache>
            </c:numRef>
          </c:xVal>
          <c:yVal>
            <c:numRef>
              <c:f>Sheet1!$L$182:$L$186</c:f>
              <c:numCache>
                <c:formatCode>General</c:formatCode>
                <c:ptCount val="5"/>
                <c:pt idx="0">
                  <c:v>-6.5210789123261552</c:v>
                </c:pt>
                <c:pt idx="1">
                  <c:v>-7.2642145318981362</c:v>
                </c:pt>
                <c:pt idx="2">
                  <c:v>-7.9723691206690672</c:v>
                </c:pt>
                <c:pt idx="3">
                  <c:v>-8.6730695259962278</c:v>
                </c:pt>
                <c:pt idx="4">
                  <c:v>-9.3808724980191833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D-4EAC-8535-C6E716B231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383680"/>
        <c:axId val="653385600"/>
      </c:scatterChart>
      <c:valAx>
        <c:axId val="653383680"/>
        <c:scaling>
          <c:orientation val="minMax"/>
          <c:max val="-2"/>
          <c:min val="-5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3385600"/>
        <c:crosses val="autoZero"/>
        <c:crossBetween val="midCat"/>
      </c:valAx>
      <c:valAx>
        <c:axId val="653385600"/>
        <c:scaling>
          <c:orientation val="minMax"/>
          <c:max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338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535782</xdr:colOff>
      <xdr:row>14</xdr:row>
      <xdr:rowOff>166687</xdr:rowOff>
    </xdr:from>
    <xdr:to>
      <xdr:col>11</xdr:col>
      <xdr:colOff>404814</xdr:colOff>
      <xdr:row>34</xdr:row>
      <xdr:rowOff>7144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B4CC744-0749-807D-ED55-8666A51B57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45244</xdr:colOff>
      <xdr:row>48</xdr:row>
      <xdr:rowOff>57151</xdr:rowOff>
    </xdr:from>
    <xdr:to>
      <xdr:col>11</xdr:col>
      <xdr:colOff>209551</xdr:colOff>
      <xdr:row>66</xdr:row>
      <xdr:rowOff>159544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EF39D8EB-D86B-71A9-F393-88D8ED2813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621507</xdr:colOff>
      <xdr:row>83</xdr:row>
      <xdr:rowOff>52387</xdr:rowOff>
    </xdr:from>
    <xdr:to>
      <xdr:col>11</xdr:col>
      <xdr:colOff>157163</xdr:colOff>
      <xdr:row>104</xdr:row>
      <xdr:rowOff>30956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56F1A39-5913-4623-ABFE-3BA3989FEF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345281</xdr:colOff>
      <xdr:row>123</xdr:row>
      <xdr:rowOff>47626</xdr:rowOff>
    </xdr:from>
    <xdr:to>
      <xdr:col>11</xdr:col>
      <xdr:colOff>185738</xdr:colOff>
      <xdr:row>144</xdr:row>
      <xdr:rowOff>111920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CD2F7FAB-BF31-0689-ABAD-A258E568D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402431</xdr:colOff>
      <xdr:row>153</xdr:row>
      <xdr:rowOff>154779</xdr:rowOff>
    </xdr:from>
    <xdr:to>
      <xdr:col>12</xdr:col>
      <xdr:colOff>119063</xdr:colOff>
      <xdr:row>171</xdr:row>
      <xdr:rowOff>119061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FDB241DD-E9FA-3484-BBD8-CF3FF0B8F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564357</xdr:colOff>
      <xdr:row>8</xdr:row>
      <xdr:rowOff>52387</xdr:rowOff>
    </xdr:from>
    <xdr:to>
      <xdr:col>19</xdr:col>
      <xdr:colOff>176213</xdr:colOff>
      <xdr:row>26</xdr:row>
      <xdr:rowOff>23811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899B53D5-49F8-3F21-363B-833EC553C8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535781</xdr:colOff>
      <xdr:row>174</xdr:row>
      <xdr:rowOff>121441</xdr:rowOff>
    </xdr:from>
    <xdr:to>
      <xdr:col>12</xdr:col>
      <xdr:colOff>573881</xdr:colOff>
      <xdr:row>202</xdr:row>
      <xdr:rowOff>85724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EC873A4-EAC8-7B03-EB35-F04AF811E9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6"/>
  <sheetViews>
    <sheetView tabSelected="1" topLeftCell="A174" workbookViewId="0">
      <selection activeCell="P190" sqref="P190"/>
    </sheetView>
  </sheetViews>
  <sheetFormatPr defaultRowHeight="13.9" x14ac:dyDescent="0.4"/>
  <cols>
    <col min="16" max="16" width="10.06640625" bestFit="1" customWidth="1"/>
  </cols>
  <sheetData>
    <row r="1" spans="1:20" x14ac:dyDescent="0.4">
      <c r="A1" t="s">
        <v>7</v>
      </c>
      <c r="O1" t="s">
        <v>8</v>
      </c>
    </row>
    <row r="2" spans="1:20" x14ac:dyDescent="0.4">
      <c r="A2" t="s">
        <v>0</v>
      </c>
      <c r="B2" t="s">
        <v>1</v>
      </c>
      <c r="C2" t="s">
        <v>3</v>
      </c>
      <c r="D2" t="s">
        <v>2</v>
      </c>
      <c r="G2" t="s">
        <v>0</v>
      </c>
      <c r="H2" t="s">
        <v>1</v>
      </c>
      <c r="I2" t="s">
        <v>2</v>
      </c>
      <c r="J2" t="s">
        <v>4</v>
      </c>
      <c r="K2" t="s">
        <v>5</v>
      </c>
      <c r="L2" t="s">
        <v>6</v>
      </c>
      <c r="O2" t="s">
        <v>0</v>
      </c>
      <c r="P2" t="s">
        <v>1</v>
      </c>
      <c r="Q2" t="s">
        <v>3</v>
      </c>
      <c r="R2" t="s">
        <v>4</v>
      </c>
      <c r="S2" t="s">
        <v>5</v>
      </c>
      <c r="T2" t="s">
        <v>6</v>
      </c>
    </row>
    <row r="3" spans="1:20" x14ac:dyDescent="0.4">
      <c r="A3">
        <v>0.02</v>
      </c>
      <c r="B3">
        <v>1E-4</v>
      </c>
      <c r="C3" s="1">
        <v>1.1128700000000001E-5</v>
      </c>
      <c r="D3">
        <f t="shared" ref="D3:D11" si="0">SQRT(C3)</f>
        <v>3.3359706233718547E-3</v>
      </c>
      <c r="G3">
        <v>0.02</v>
      </c>
      <c r="H3">
        <v>1E-4</v>
      </c>
      <c r="I3" s="1">
        <v>1.1128700000000001E-5</v>
      </c>
      <c r="J3">
        <f>LN(G3)</f>
        <v>-3.912023005428146</v>
      </c>
      <c r="K3">
        <f>LN(H3)</f>
        <v>-9.2103403719761818</v>
      </c>
      <c r="L3">
        <f>LN(I3)</f>
        <v>-11.405983200936197</v>
      </c>
      <c r="O3">
        <v>0.08</v>
      </c>
      <c r="P3">
        <v>1E-3</v>
      </c>
      <c r="Q3">
        <v>3.81455E-4</v>
      </c>
      <c r="R3">
        <f>LN(O3)</f>
        <v>-2.5257286443082556</v>
      </c>
      <c r="S3">
        <f>LN(P3)</f>
        <v>-6.9077552789821368</v>
      </c>
      <c r="T3">
        <f>LN(Q3)</f>
        <v>-7.8715176696361091</v>
      </c>
    </row>
    <row r="4" spans="1:20" x14ac:dyDescent="0.4">
      <c r="A4">
        <v>0.04</v>
      </c>
      <c r="B4">
        <v>1E-4</v>
      </c>
      <c r="C4" s="1">
        <v>2.0616E-5</v>
      </c>
      <c r="D4">
        <f t="shared" si="0"/>
        <v>4.5404845556394086E-3</v>
      </c>
      <c r="G4">
        <v>0.02</v>
      </c>
      <c r="H4">
        <v>2.0000000000000001E-4</v>
      </c>
      <c r="I4" s="1">
        <v>1.80077E-5</v>
      </c>
      <c r="J4">
        <f t="shared" ref="J4:J15" si="1">LN(G4)</f>
        <v>-3.912023005428146</v>
      </c>
      <c r="K4">
        <f t="shared" ref="K4:K15" si="2">LN(H4)</f>
        <v>-8.5171931914162382</v>
      </c>
      <c r="L4">
        <f t="shared" ref="L4:L15" si="3">LN(I4)</f>
        <v>-10.924711113761161</v>
      </c>
      <c r="O4">
        <v>0.08</v>
      </c>
      <c r="P4">
        <v>5.0000000000000001E-4</v>
      </c>
      <c r="Q4">
        <v>1.73504E-4</v>
      </c>
      <c r="R4">
        <f t="shared" ref="R4:R7" si="4">LN(O4)</f>
        <v>-2.5257286443082556</v>
      </c>
      <c r="S4">
        <f t="shared" ref="S4:S7" si="5">LN(P4)</f>
        <v>-7.6009024595420822</v>
      </c>
      <c r="T4">
        <f t="shared" ref="T4:T7" si="6">LN(Q4)</f>
        <v>-8.6593099040880741</v>
      </c>
    </row>
    <row r="5" spans="1:20" x14ac:dyDescent="0.4">
      <c r="A5">
        <v>0.08</v>
      </c>
      <c r="B5">
        <v>1E-4</v>
      </c>
      <c r="C5" s="1">
        <v>9.0320799999999998E-6</v>
      </c>
      <c r="D5">
        <f t="shared" si="0"/>
        <v>3.0053419106650745E-3</v>
      </c>
      <c r="G5">
        <v>0.02</v>
      </c>
      <c r="H5">
        <v>4.0000000000000002E-4</v>
      </c>
      <c r="I5" s="1">
        <v>3.2793499999999997E-5</v>
      </c>
      <c r="J5">
        <f t="shared" si="1"/>
        <v>-3.912023005428146</v>
      </c>
      <c r="K5">
        <f t="shared" si="2"/>
        <v>-7.8240460108562919</v>
      </c>
      <c r="L5">
        <f t="shared" si="3"/>
        <v>-10.325280232944298</v>
      </c>
      <c r="O5">
        <v>0.08</v>
      </c>
      <c r="P5">
        <v>2.5000000000000001E-4</v>
      </c>
      <c r="Q5" s="1">
        <v>7.1038199999999994E-5</v>
      </c>
      <c r="R5">
        <f t="shared" si="4"/>
        <v>-2.5257286443082556</v>
      </c>
      <c r="S5">
        <f t="shared" si="5"/>
        <v>-8.2940496401020276</v>
      </c>
      <c r="T5">
        <f t="shared" si="6"/>
        <v>-9.5522927974392058</v>
      </c>
    </row>
    <row r="6" spans="1:20" x14ac:dyDescent="0.4">
      <c r="A6" s="2">
        <f>2*(1/18)</f>
        <v>0.1111111111111111</v>
      </c>
      <c r="B6">
        <v>1E-4</v>
      </c>
      <c r="C6" s="1">
        <v>5.9591700000000001E-5</v>
      </c>
      <c r="D6">
        <f t="shared" si="0"/>
        <v>7.7195660499797527E-3</v>
      </c>
      <c r="G6">
        <v>0.02</v>
      </c>
      <c r="H6">
        <v>8.0000000000000004E-4</v>
      </c>
      <c r="I6" s="1">
        <v>6.7526099999999997E-5</v>
      </c>
      <c r="J6">
        <f t="shared" si="1"/>
        <v>-3.912023005428146</v>
      </c>
      <c r="K6">
        <f t="shared" si="2"/>
        <v>-7.1308988302963465</v>
      </c>
      <c r="L6">
        <f t="shared" si="3"/>
        <v>-9.6029963681554147</v>
      </c>
      <c r="O6">
        <v>0.08</v>
      </c>
      <c r="P6">
        <v>1.25E-4</v>
      </c>
      <c r="Q6" s="1">
        <v>2.5857400000000001E-5</v>
      </c>
      <c r="R6">
        <f t="shared" si="4"/>
        <v>-2.5257286443082556</v>
      </c>
      <c r="S6">
        <f t="shared" si="5"/>
        <v>-8.987196820661973</v>
      </c>
      <c r="T6">
        <f t="shared" si="6"/>
        <v>-10.562913731051829</v>
      </c>
    </row>
    <row r="7" spans="1:20" x14ac:dyDescent="0.4">
      <c r="A7">
        <f>2/15</f>
        <v>0.13333333333333333</v>
      </c>
      <c r="B7">
        <v>1E-4</v>
      </c>
      <c r="C7" s="1">
        <v>1.19387E-5</v>
      </c>
      <c r="D7">
        <f t="shared" si="0"/>
        <v>3.4552423938126252E-3</v>
      </c>
      <c r="G7">
        <v>0.02</v>
      </c>
      <c r="H7">
        <v>1E-3</v>
      </c>
      <c r="I7" s="1">
        <v>8.43916E-5</v>
      </c>
      <c r="J7">
        <f t="shared" si="1"/>
        <v>-3.912023005428146</v>
      </c>
      <c r="K7">
        <f t="shared" si="2"/>
        <v>-6.9077552789821368</v>
      </c>
      <c r="L7">
        <f t="shared" si="3"/>
        <v>-9.3800426873817617</v>
      </c>
      <c r="O7">
        <v>0.08</v>
      </c>
      <c r="P7">
        <v>6.2500000000000001E-5</v>
      </c>
      <c r="Q7" s="1">
        <v>2.2717600000000001E-5</v>
      </c>
      <c r="R7">
        <f t="shared" si="4"/>
        <v>-2.5257286443082556</v>
      </c>
      <c r="S7">
        <f t="shared" si="5"/>
        <v>-9.6803440012219184</v>
      </c>
      <c r="T7">
        <f t="shared" si="6"/>
        <v>-10.692370603493783</v>
      </c>
    </row>
    <row r="8" spans="1:20" x14ac:dyDescent="0.4">
      <c r="A8">
        <f>2/12</f>
        <v>0.16666666666666666</v>
      </c>
      <c r="B8">
        <v>1E-4</v>
      </c>
      <c r="C8" s="1">
        <v>1.04188E-4</v>
      </c>
      <c r="D8">
        <f t="shared" si="0"/>
        <v>1.0207252323715721E-2</v>
      </c>
      <c r="G8">
        <v>0.02</v>
      </c>
      <c r="H8">
        <v>2E-3</v>
      </c>
      <c r="I8" s="1">
        <v>1.6921800000000001E-4</v>
      </c>
      <c r="J8">
        <f t="shared" si="1"/>
        <v>-3.912023005428146</v>
      </c>
      <c r="K8">
        <f t="shared" si="2"/>
        <v>-6.2146080984221914</v>
      </c>
      <c r="L8">
        <f t="shared" si="3"/>
        <v>-8.6843227334716957</v>
      </c>
    </row>
    <row r="9" spans="1:20" x14ac:dyDescent="0.4">
      <c r="A9">
        <v>0.2</v>
      </c>
      <c r="B9">
        <v>1E-4</v>
      </c>
      <c r="C9" s="1">
        <v>1.2663E-4</v>
      </c>
      <c r="D9">
        <f t="shared" si="0"/>
        <v>1.1252999600106631E-2</v>
      </c>
      <c r="G9">
        <v>0.02</v>
      </c>
      <c r="H9">
        <v>4.0000000000000001E-3</v>
      </c>
      <c r="I9" s="1">
        <v>3.3932800000000001E-4</v>
      </c>
      <c r="J9">
        <f t="shared" si="1"/>
        <v>-3.912023005428146</v>
      </c>
      <c r="K9">
        <f t="shared" si="2"/>
        <v>-5.521460917862246</v>
      </c>
      <c r="L9">
        <f t="shared" si="3"/>
        <v>-7.9885433667377681</v>
      </c>
    </row>
    <row r="10" spans="1:20" x14ac:dyDescent="0.4">
      <c r="A10">
        <f>2/8</f>
        <v>0.25</v>
      </c>
      <c r="B10">
        <v>1E-4</v>
      </c>
      <c r="C10" s="1">
        <v>1.0538E-4</v>
      </c>
      <c r="D10">
        <f t="shared" si="0"/>
        <v>1.026547612144707E-2</v>
      </c>
      <c r="G10">
        <v>0.02</v>
      </c>
      <c r="H10">
        <v>8.0000000000000002E-3</v>
      </c>
      <c r="I10" s="2">
        <v>6.80431E-4</v>
      </c>
      <c r="J10">
        <f t="shared" si="1"/>
        <v>-3.912023005428146</v>
      </c>
      <c r="K10">
        <f t="shared" si="2"/>
        <v>-4.8283137373023015</v>
      </c>
      <c r="L10">
        <f t="shared" si="3"/>
        <v>-7.2927841370460076</v>
      </c>
    </row>
    <row r="11" spans="1:20" x14ac:dyDescent="0.4">
      <c r="A11">
        <v>0.02</v>
      </c>
      <c r="B11">
        <v>1E-4</v>
      </c>
      <c r="C11" s="1">
        <v>1.1128700000000001E-5</v>
      </c>
      <c r="D11">
        <f t="shared" si="0"/>
        <v>3.3359706233718547E-3</v>
      </c>
      <c r="G11">
        <v>0.02</v>
      </c>
      <c r="H11">
        <v>0.01</v>
      </c>
      <c r="I11" s="1">
        <v>8.5136599999999999E-4</v>
      </c>
      <c r="J11">
        <f t="shared" si="1"/>
        <v>-3.912023005428146</v>
      </c>
      <c r="K11">
        <f t="shared" si="2"/>
        <v>-4.6051701859880909</v>
      </c>
      <c r="L11">
        <f t="shared" si="3"/>
        <v>-7.068668439593595</v>
      </c>
    </row>
    <row r="12" spans="1:20" x14ac:dyDescent="0.4">
      <c r="A12">
        <v>0.02</v>
      </c>
      <c r="B12">
        <v>2.0000000000000001E-4</v>
      </c>
      <c r="C12" s="1">
        <v>1.80077E-5</v>
      </c>
      <c r="D12">
        <f t="shared" ref="D12:D23" si="7">SQRT(C12)</f>
        <v>4.243548043795428E-3</v>
      </c>
      <c r="G12">
        <v>0.02</v>
      </c>
      <c r="H12">
        <v>0.02</v>
      </c>
      <c r="I12" s="1">
        <v>1.7098E-3</v>
      </c>
      <c r="J12">
        <f t="shared" si="1"/>
        <v>-3.912023005428146</v>
      </c>
      <c r="K12">
        <f t="shared" si="2"/>
        <v>-3.912023005428146</v>
      </c>
      <c r="L12">
        <f t="shared" si="3"/>
        <v>-6.3713788743721409</v>
      </c>
    </row>
    <row r="13" spans="1:20" x14ac:dyDescent="0.4">
      <c r="A13">
        <v>0.02</v>
      </c>
      <c r="B13">
        <v>4.0000000000000002E-4</v>
      </c>
      <c r="C13" s="1">
        <v>3.2793499999999997E-5</v>
      </c>
      <c r="D13">
        <f t="shared" si="7"/>
        <v>5.7265609225782268E-3</v>
      </c>
      <c r="G13">
        <v>0.02</v>
      </c>
      <c r="H13">
        <v>0.04</v>
      </c>
      <c r="I13" s="1">
        <v>3.4426700000000001E-3</v>
      </c>
      <c r="J13">
        <f t="shared" si="1"/>
        <v>-3.912023005428146</v>
      </c>
      <c r="K13">
        <f t="shared" si="2"/>
        <v>-3.2188758248682006</v>
      </c>
      <c r="L13">
        <f t="shared" si="3"/>
        <v>-5.6715079458647013</v>
      </c>
    </row>
    <row r="14" spans="1:20" x14ac:dyDescent="0.4">
      <c r="A14">
        <v>0.02</v>
      </c>
      <c r="B14">
        <v>8.0000000000000004E-4</v>
      </c>
      <c r="C14" s="1">
        <v>6.7526099999999997E-5</v>
      </c>
      <c r="D14">
        <f t="shared" si="7"/>
        <v>8.2174266044790448E-3</v>
      </c>
      <c r="G14">
        <v>0.02</v>
      </c>
      <c r="H14">
        <v>0.05</v>
      </c>
      <c r="I14" s="1">
        <v>4.3238800000000004E-3</v>
      </c>
      <c r="J14">
        <f t="shared" si="1"/>
        <v>-3.912023005428146</v>
      </c>
      <c r="K14">
        <f t="shared" si="2"/>
        <v>-2.9957322735539909</v>
      </c>
      <c r="L14">
        <f t="shared" si="3"/>
        <v>-5.4436021316716774</v>
      </c>
    </row>
    <row r="15" spans="1:20" x14ac:dyDescent="0.4">
      <c r="A15">
        <v>0.02</v>
      </c>
      <c r="B15">
        <v>1E-3</v>
      </c>
      <c r="C15" s="1">
        <v>8.43916E-5</v>
      </c>
      <c r="D15">
        <f t="shared" si="7"/>
        <v>9.1864900805476296E-3</v>
      </c>
      <c r="G15">
        <v>0.02</v>
      </c>
      <c r="H15">
        <v>0.1</v>
      </c>
      <c r="I15" s="1">
        <v>8.8209099999999995E-3</v>
      </c>
      <c r="J15">
        <f t="shared" si="1"/>
        <v>-3.912023005428146</v>
      </c>
      <c r="K15">
        <f t="shared" si="2"/>
        <v>-2.3025850929940455</v>
      </c>
      <c r="L15">
        <f t="shared" si="3"/>
        <v>-4.7306302396823963</v>
      </c>
    </row>
    <row r="16" spans="1:20" x14ac:dyDescent="0.4">
      <c r="A16">
        <v>0.02</v>
      </c>
      <c r="B16">
        <v>2E-3</v>
      </c>
      <c r="C16" s="1">
        <v>1.6921800000000001E-4</v>
      </c>
      <c r="D16">
        <f t="shared" si="7"/>
        <v>1.3008381913212727E-2</v>
      </c>
    </row>
    <row r="17" spans="1:4" x14ac:dyDescent="0.4">
      <c r="A17">
        <v>0.02</v>
      </c>
      <c r="B17">
        <v>4.0000000000000001E-3</v>
      </c>
      <c r="C17" s="1">
        <v>3.3932800000000001E-4</v>
      </c>
      <c r="D17">
        <f t="shared" si="7"/>
        <v>1.842085774332998E-2</v>
      </c>
    </row>
    <row r="18" spans="1:4" x14ac:dyDescent="0.4">
      <c r="A18">
        <v>0.02</v>
      </c>
      <c r="B18">
        <v>8.0000000000000002E-3</v>
      </c>
      <c r="C18" s="2">
        <v>6.80431E-4</v>
      </c>
      <c r="D18">
        <f t="shared" si="7"/>
        <v>2.6085072359493273E-2</v>
      </c>
    </row>
    <row r="19" spans="1:4" x14ac:dyDescent="0.4">
      <c r="A19">
        <v>0.02</v>
      </c>
      <c r="B19">
        <v>0.01</v>
      </c>
      <c r="C19" s="1">
        <v>8.5136599999999999E-4</v>
      </c>
      <c r="D19">
        <f t="shared" si="7"/>
        <v>2.917817677648828E-2</v>
      </c>
    </row>
    <row r="20" spans="1:4" x14ac:dyDescent="0.4">
      <c r="A20">
        <v>0.02</v>
      </c>
      <c r="B20">
        <v>0.02</v>
      </c>
      <c r="C20" s="1">
        <v>1.7098E-3</v>
      </c>
      <c r="D20">
        <f t="shared" si="7"/>
        <v>4.1349727931390308E-2</v>
      </c>
    </row>
    <row r="21" spans="1:4" x14ac:dyDescent="0.4">
      <c r="A21">
        <v>0.02</v>
      </c>
      <c r="B21">
        <v>0.04</v>
      </c>
      <c r="C21" s="1">
        <v>3.4426700000000001E-3</v>
      </c>
      <c r="D21">
        <f t="shared" si="7"/>
        <v>5.8674270340584554E-2</v>
      </c>
    </row>
    <row r="22" spans="1:4" x14ac:dyDescent="0.4">
      <c r="A22">
        <v>0.02</v>
      </c>
      <c r="B22">
        <v>0.05</v>
      </c>
      <c r="C22" s="1">
        <v>4.3238800000000004E-3</v>
      </c>
      <c r="D22">
        <f t="shared" si="7"/>
        <v>6.5756216436166706E-2</v>
      </c>
    </row>
    <row r="23" spans="1:4" x14ac:dyDescent="0.4">
      <c r="A23">
        <v>0.02</v>
      </c>
      <c r="B23">
        <v>0.1</v>
      </c>
      <c r="C23" s="1">
        <v>8.8209099999999995E-3</v>
      </c>
      <c r="D23">
        <f t="shared" si="7"/>
        <v>9.3919699743983426E-2</v>
      </c>
    </row>
    <row r="24" spans="1:4" x14ac:dyDescent="0.4">
      <c r="A24">
        <v>0.04</v>
      </c>
      <c r="B24">
        <v>1E-4</v>
      </c>
      <c r="C24" s="1">
        <v>2.0616E-5</v>
      </c>
      <c r="D24">
        <f t="shared" ref="D24:D38" si="8">SQRT(C24)</f>
        <v>4.5404845556394086E-3</v>
      </c>
    </row>
    <row r="25" spans="1:4" x14ac:dyDescent="0.4">
      <c r="A25">
        <v>0.04</v>
      </c>
      <c r="B25">
        <v>2.0000000000000001E-4</v>
      </c>
      <c r="C25" s="1">
        <v>2.64102E-5</v>
      </c>
      <c r="D25">
        <f t="shared" si="8"/>
        <v>5.1390855217635758E-3</v>
      </c>
    </row>
    <row r="26" spans="1:4" x14ac:dyDescent="0.4">
      <c r="A26">
        <v>0.04</v>
      </c>
      <c r="B26">
        <v>4.0000000000000002E-4</v>
      </c>
      <c r="C26" s="1">
        <v>5.4308400000000003E-5</v>
      </c>
      <c r="D26">
        <f t="shared" si="8"/>
        <v>7.3694233152940807E-3</v>
      </c>
    </row>
    <row r="27" spans="1:4" x14ac:dyDescent="0.4">
      <c r="A27">
        <v>0.04</v>
      </c>
      <c r="B27">
        <v>8.0000000000000004E-4</v>
      </c>
      <c r="C27">
        <v>1.13412E-4</v>
      </c>
      <c r="D27">
        <f t="shared" si="8"/>
        <v>1.0649507030844198E-2</v>
      </c>
    </row>
    <row r="28" spans="1:4" x14ac:dyDescent="0.4">
      <c r="A28">
        <v>0.04</v>
      </c>
      <c r="B28">
        <v>1E-3</v>
      </c>
      <c r="C28">
        <v>1.43036E-4</v>
      </c>
      <c r="D28">
        <f t="shared" si="8"/>
        <v>1.1959765883996224E-2</v>
      </c>
    </row>
    <row r="29" spans="1:4" x14ac:dyDescent="0.4">
      <c r="A29">
        <v>0.04</v>
      </c>
      <c r="B29">
        <v>2E-3</v>
      </c>
      <c r="C29">
        <v>2.9171600000000002E-4</v>
      </c>
      <c r="D29">
        <f t="shared" si="8"/>
        <v>1.7079695547637844E-2</v>
      </c>
    </row>
    <row r="30" spans="1:4" x14ac:dyDescent="0.4">
      <c r="A30">
        <v>0.04</v>
      </c>
      <c r="B30">
        <v>4.0000000000000001E-3</v>
      </c>
      <c r="C30">
        <v>5.8958899999999996E-4</v>
      </c>
      <c r="D30">
        <f t="shared" si="8"/>
        <v>2.4281453827973316E-2</v>
      </c>
    </row>
    <row r="31" spans="1:4" x14ac:dyDescent="0.4">
      <c r="A31">
        <v>0.04</v>
      </c>
      <c r="B31">
        <v>8.0000000000000002E-3</v>
      </c>
      <c r="C31">
        <v>1.1871500000000001E-3</v>
      </c>
      <c r="D31">
        <f t="shared" si="8"/>
        <v>3.445504317222662E-2</v>
      </c>
    </row>
    <row r="32" spans="1:4" x14ac:dyDescent="0.4">
      <c r="A32">
        <v>0.04</v>
      </c>
      <c r="B32">
        <v>0.01</v>
      </c>
      <c r="C32">
        <v>1.4866199999999999E-3</v>
      </c>
      <c r="D32">
        <f t="shared" si="8"/>
        <v>3.8556711478029346E-2</v>
      </c>
    </row>
    <row r="33" spans="1:12" x14ac:dyDescent="0.4">
      <c r="A33">
        <v>0.04</v>
      </c>
      <c r="B33">
        <v>0.02</v>
      </c>
      <c r="C33">
        <v>2.9905499999999998E-3</v>
      </c>
      <c r="D33">
        <f t="shared" si="8"/>
        <v>5.4685921405787798E-2</v>
      </c>
    </row>
    <row r="34" spans="1:12" x14ac:dyDescent="0.4">
      <c r="A34">
        <v>0.04</v>
      </c>
      <c r="B34">
        <v>0.04</v>
      </c>
      <c r="C34">
        <v>6.0282499999999998E-3</v>
      </c>
      <c r="D34">
        <f t="shared" si="8"/>
        <v>7.7641805749222498E-2</v>
      </c>
      <c r="G34" t="s">
        <v>0</v>
      </c>
      <c r="H34" t="s">
        <v>1</v>
      </c>
      <c r="I34" t="s">
        <v>2</v>
      </c>
      <c r="J34" t="s">
        <v>4</v>
      </c>
      <c r="K34" t="s">
        <v>5</v>
      </c>
      <c r="L34" t="s">
        <v>6</v>
      </c>
    </row>
    <row r="35" spans="1:12" x14ac:dyDescent="0.4">
      <c r="A35">
        <v>0.04</v>
      </c>
      <c r="B35">
        <v>0.05</v>
      </c>
      <c r="C35">
        <v>7.5711900000000002E-3</v>
      </c>
      <c r="D35">
        <f t="shared" si="8"/>
        <v>8.7012585296610975E-2</v>
      </c>
      <c r="G35">
        <v>0.04</v>
      </c>
      <c r="H35">
        <v>1E-4</v>
      </c>
      <c r="I35" s="1">
        <v>2.0616E-5</v>
      </c>
      <c r="J35">
        <f>LN(G35)</f>
        <v>-3.2188758248682006</v>
      </c>
      <c r="K35">
        <f>LN(H35)</f>
        <v>-9.2103403719761818</v>
      </c>
      <c r="L35">
        <f>LN(I35)</f>
        <v>-10.789443084614209</v>
      </c>
    </row>
    <row r="36" spans="1:12" x14ac:dyDescent="0.4">
      <c r="A36">
        <v>0.04</v>
      </c>
      <c r="B36">
        <v>0.1</v>
      </c>
      <c r="C36">
        <v>1.5457E-2</v>
      </c>
      <c r="D36">
        <f t="shared" si="8"/>
        <v>0.12432618388738552</v>
      </c>
      <c r="G36">
        <v>0.04</v>
      </c>
      <c r="H36">
        <v>2.0000000000000001E-4</v>
      </c>
      <c r="I36" s="1">
        <v>2.64102E-5</v>
      </c>
      <c r="J36">
        <f t="shared" ref="J36:J48" si="9">LN(G36)</f>
        <v>-3.2188758248682006</v>
      </c>
      <c r="K36">
        <f t="shared" ref="K36:K48" si="10">LN(H36)</f>
        <v>-8.5171931914162382</v>
      </c>
      <c r="L36">
        <f t="shared" ref="L36:L48" si="11">LN(I36)</f>
        <v>-10.54176025879485</v>
      </c>
    </row>
    <row r="37" spans="1:12" x14ac:dyDescent="0.4">
      <c r="A37">
        <v>0.04</v>
      </c>
      <c r="B37">
        <v>0.2</v>
      </c>
      <c r="C37">
        <v>3.1413900000000002E-2</v>
      </c>
      <c r="D37">
        <f t="shared" si="8"/>
        <v>0.17723966824613502</v>
      </c>
      <c r="G37">
        <v>0.04</v>
      </c>
      <c r="H37">
        <v>4.0000000000000002E-4</v>
      </c>
      <c r="I37" s="1">
        <v>5.4308400000000003E-5</v>
      </c>
      <c r="J37">
        <f t="shared" si="9"/>
        <v>-3.2188758248682006</v>
      </c>
      <c r="K37">
        <f t="shared" si="10"/>
        <v>-7.8240460108562919</v>
      </c>
      <c r="L37">
        <f t="shared" si="11"/>
        <v>-9.820831646856</v>
      </c>
    </row>
    <row r="38" spans="1:12" x14ac:dyDescent="0.4">
      <c r="A38">
        <v>0.08</v>
      </c>
      <c r="B38">
        <v>1E-4</v>
      </c>
      <c r="C38" s="1">
        <v>9.0320799999999998E-6</v>
      </c>
      <c r="D38">
        <f t="shared" si="8"/>
        <v>3.0053419106650745E-3</v>
      </c>
      <c r="G38">
        <v>0.04</v>
      </c>
      <c r="H38">
        <v>8.0000000000000004E-4</v>
      </c>
      <c r="I38">
        <v>1.13412E-4</v>
      </c>
      <c r="J38">
        <f t="shared" si="9"/>
        <v>-3.2188758248682006</v>
      </c>
      <c r="K38">
        <f t="shared" si="10"/>
        <v>-7.1308988302963465</v>
      </c>
      <c r="L38">
        <f t="shared" si="11"/>
        <v>-9.084483352163355</v>
      </c>
    </row>
    <row r="39" spans="1:12" x14ac:dyDescent="0.4">
      <c r="A39">
        <v>0.08</v>
      </c>
      <c r="B39">
        <v>2.0000000000000001E-4</v>
      </c>
      <c r="C39" s="1">
        <v>9.0320799999999998E-6</v>
      </c>
      <c r="D39">
        <f t="shared" ref="D39:D65" si="12">SQRT(C39)</f>
        <v>3.0053419106650745E-3</v>
      </c>
      <c r="G39">
        <v>0.04</v>
      </c>
      <c r="H39">
        <v>1E-3</v>
      </c>
      <c r="I39">
        <v>1.43036E-4</v>
      </c>
      <c r="J39">
        <f t="shared" si="9"/>
        <v>-3.2188758248682006</v>
      </c>
      <c r="K39">
        <f t="shared" si="10"/>
        <v>-6.9077552789821368</v>
      </c>
      <c r="L39">
        <f t="shared" si="11"/>
        <v>-8.8524142111358923</v>
      </c>
    </row>
    <row r="40" spans="1:12" x14ac:dyDescent="0.4">
      <c r="A40">
        <v>0.08</v>
      </c>
      <c r="B40">
        <v>4.0000000000000002E-4</v>
      </c>
      <c r="C40" s="1">
        <v>5.6674E-5</v>
      </c>
      <c r="D40">
        <f t="shared" si="12"/>
        <v>7.5282135995201407E-3</v>
      </c>
      <c r="G40">
        <v>0.04</v>
      </c>
      <c r="H40">
        <v>2E-3</v>
      </c>
      <c r="I40">
        <v>2.9171600000000002E-4</v>
      </c>
      <c r="J40">
        <f t="shared" si="9"/>
        <v>-3.2188758248682006</v>
      </c>
      <c r="K40">
        <f t="shared" si="10"/>
        <v>-6.2146080984221914</v>
      </c>
      <c r="L40">
        <f t="shared" si="11"/>
        <v>-8.1397298317206666</v>
      </c>
    </row>
    <row r="41" spans="1:12" x14ac:dyDescent="0.4">
      <c r="A41">
        <v>0.08</v>
      </c>
      <c r="B41">
        <v>8.0000000000000004E-4</v>
      </c>
      <c r="C41">
        <v>1.39531E-4</v>
      </c>
      <c r="D41">
        <f t="shared" si="12"/>
        <v>1.1812324072764004E-2</v>
      </c>
      <c r="G41">
        <v>0.04</v>
      </c>
      <c r="H41">
        <v>4.0000000000000001E-3</v>
      </c>
      <c r="I41">
        <v>5.8958899999999996E-4</v>
      </c>
      <c r="J41">
        <f t="shared" si="9"/>
        <v>-3.2188758248682006</v>
      </c>
      <c r="K41">
        <f t="shared" si="10"/>
        <v>-5.521460917862246</v>
      </c>
      <c r="L41">
        <f t="shared" si="11"/>
        <v>-7.4360848739796044</v>
      </c>
    </row>
    <row r="42" spans="1:12" x14ac:dyDescent="0.4">
      <c r="A42">
        <v>0.08</v>
      </c>
      <c r="B42">
        <v>1E-3</v>
      </c>
      <c r="C42">
        <v>1.85157E-4</v>
      </c>
      <c r="D42">
        <f t="shared" si="12"/>
        <v>1.3607240719558098E-2</v>
      </c>
      <c r="G42">
        <v>0.04</v>
      </c>
      <c r="H42">
        <v>8.0000000000000002E-3</v>
      </c>
      <c r="I42">
        <v>1.1871500000000001E-3</v>
      </c>
      <c r="J42">
        <f t="shared" si="9"/>
        <v>-3.2188758248682006</v>
      </c>
      <c r="K42">
        <f t="shared" si="10"/>
        <v>-4.8283137373023015</v>
      </c>
      <c r="L42">
        <f t="shared" si="11"/>
        <v>-6.7361998023410221</v>
      </c>
    </row>
    <row r="43" spans="1:12" x14ac:dyDescent="0.4">
      <c r="A43">
        <v>0.08</v>
      </c>
      <c r="B43">
        <v>2E-3</v>
      </c>
      <c r="C43">
        <v>4.0020099999999999E-4</v>
      </c>
      <c r="D43">
        <f t="shared" si="12"/>
        <v>2.000502436889293E-2</v>
      </c>
      <c r="G43">
        <v>0.04</v>
      </c>
      <c r="H43">
        <v>0.01</v>
      </c>
      <c r="I43">
        <v>1.4866199999999999E-3</v>
      </c>
      <c r="J43">
        <f t="shared" si="9"/>
        <v>-3.2188758248682006</v>
      </c>
      <c r="K43">
        <f t="shared" si="10"/>
        <v>-4.6051701859880909</v>
      </c>
      <c r="L43">
        <f t="shared" si="11"/>
        <v>-6.511250192245484</v>
      </c>
    </row>
    <row r="44" spans="1:12" x14ac:dyDescent="0.4">
      <c r="A44">
        <v>0.08</v>
      </c>
      <c r="B44">
        <v>4.0000000000000001E-3</v>
      </c>
      <c r="C44">
        <v>8.33222E-4</v>
      </c>
      <c r="D44">
        <f t="shared" si="12"/>
        <v>2.8865585045171005E-2</v>
      </c>
      <c r="G44">
        <v>0.04</v>
      </c>
      <c r="H44">
        <v>0.02</v>
      </c>
      <c r="I44">
        <v>2.9905499999999998E-3</v>
      </c>
      <c r="J44">
        <f t="shared" si="9"/>
        <v>-3.2188758248682006</v>
      </c>
      <c r="K44">
        <f t="shared" si="10"/>
        <v>-3.912023005428146</v>
      </c>
      <c r="L44">
        <f t="shared" si="11"/>
        <v>-5.812297962007329</v>
      </c>
    </row>
    <row r="45" spans="1:12" x14ac:dyDescent="0.4">
      <c r="A45">
        <v>0.08</v>
      </c>
      <c r="B45">
        <v>8.0000000000000002E-3</v>
      </c>
      <c r="C45">
        <v>1.70437E-3</v>
      </c>
      <c r="D45">
        <f t="shared" si="12"/>
        <v>4.1284016277489281E-2</v>
      </c>
      <c r="G45">
        <v>0.04</v>
      </c>
      <c r="H45">
        <v>0.04</v>
      </c>
      <c r="I45">
        <v>6.0282499999999998E-3</v>
      </c>
      <c r="J45">
        <f t="shared" si="9"/>
        <v>-3.2188758248682006</v>
      </c>
      <c r="K45">
        <f t="shared" si="10"/>
        <v>-3.2188758248682006</v>
      </c>
      <c r="L45">
        <f t="shared" si="11"/>
        <v>-5.1112985259524599</v>
      </c>
    </row>
    <row r="46" spans="1:12" x14ac:dyDescent="0.4">
      <c r="A46">
        <v>0.08</v>
      </c>
      <c r="B46">
        <v>0.01</v>
      </c>
      <c r="C46">
        <v>2.1408400000000002E-3</v>
      </c>
      <c r="D46">
        <f t="shared" si="12"/>
        <v>4.6269212225841926E-2</v>
      </c>
      <c r="G46">
        <v>0.04</v>
      </c>
      <c r="H46">
        <v>0.05</v>
      </c>
      <c r="I46">
        <v>7.5711900000000002E-3</v>
      </c>
      <c r="J46">
        <f t="shared" si="9"/>
        <v>-3.2188758248682006</v>
      </c>
      <c r="K46">
        <f t="shared" si="10"/>
        <v>-2.9957322735539909</v>
      </c>
      <c r="L46">
        <f t="shared" si="11"/>
        <v>-4.8834050244157234</v>
      </c>
    </row>
    <row r="47" spans="1:12" x14ac:dyDescent="0.4">
      <c r="A47">
        <v>0.08</v>
      </c>
      <c r="B47">
        <v>0.02</v>
      </c>
      <c r="C47">
        <v>4.3334999999999997E-3</v>
      </c>
      <c r="D47">
        <f t="shared" si="12"/>
        <v>6.5829324772475065E-2</v>
      </c>
      <c r="G47">
        <v>0.04</v>
      </c>
      <c r="H47">
        <v>0.1</v>
      </c>
      <c r="I47">
        <v>1.5457E-2</v>
      </c>
      <c r="J47">
        <f t="shared" si="9"/>
        <v>-3.2188758248682006</v>
      </c>
      <c r="K47">
        <f t="shared" si="10"/>
        <v>-2.3025850929940455</v>
      </c>
      <c r="L47">
        <f t="shared" si="11"/>
        <v>-4.1696933038119557</v>
      </c>
    </row>
    <row r="48" spans="1:12" x14ac:dyDescent="0.4">
      <c r="A48">
        <v>0.08</v>
      </c>
      <c r="B48">
        <v>0.04</v>
      </c>
      <c r="C48">
        <v>8.76591E-3</v>
      </c>
      <c r="D48">
        <f t="shared" si="12"/>
        <v>9.3626438573727669E-2</v>
      </c>
      <c r="G48">
        <v>0.04</v>
      </c>
      <c r="H48">
        <v>0.2</v>
      </c>
      <c r="I48">
        <v>3.1413900000000002E-2</v>
      </c>
      <c r="J48">
        <f t="shared" si="9"/>
        <v>-3.2188758248682006</v>
      </c>
      <c r="K48">
        <f t="shared" si="10"/>
        <v>-1.6094379124341003</v>
      </c>
      <c r="L48">
        <f t="shared" si="11"/>
        <v>-3.4605048088604358</v>
      </c>
    </row>
    <row r="49" spans="1:4" x14ac:dyDescent="0.4">
      <c r="A49">
        <v>0.08</v>
      </c>
      <c r="B49">
        <v>0.05</v>
      </c>
      <c r="C49">
        <v>1.10098E-2</v>
      </c>
      <c r="D49">
        <f t="shared" si="12"/>
        <v>0.10492759408277691</v>
      </c>
    </row>
    <row r="50" spans="1:4" x14ac:dyDescent="0.4">
      <c r="A50">
        <v>0.08</v>
      </c>
      <c r="B50">
        <v>0.1</v>
      </c>
      <c r="C50">
        <v>2.2514699999999999E-2</v>
      </c>
      <c r="D50">
        <f t="shared" si="12"/>
        <v>0.15004899199928001</v>
      </c>
    </row>
    <row r="51" spans="1:4" x14ac:dyDescent="0.4">
      <c r="A51">
        <v>0.08</v>
      </c>
      <c r="B51">
        <v>0.2</v>
      </c>
      <c r="C51">
        <v>4.5741299999999999E-2</v>
      </c>
      <c r="D51">
        <f t="shared" si="12"/>
        <v>0.21387215807580004</v>
      </c>
    </row>
    <row r="52" spans="1:4" x14ac:dyDescent="0.4">
      <c r="A52">
        <f>2/12</f>
        <v>0.16666666666666666</v>
      </c>
      <c r="B52">
        <v>1E-4</v>
      </c>
      <c r="C52">
        <v>1.04188E-4</v>
      </c>
      <c r="D52">
        <f t="shared" si="12"/>
        <v>1.0207252323715721E-2</v>
      </c>
    </row>
    <row r="53" spans="1:4" x14ac:dyDescent="0.4">
      <c r="A53">
        <f t="shared" ref="A53:A65" si="13">2/12</f>
        <v>0.16666666666666666</v>
      </c>
      <c r="B53">
        <v>2.0000000000000001E-4</v>
      </c>
      <c r="C53" s="1">
        <v>3.9233799999999997E-5</v>
      </c>
      <c r="D53">
        <f t="shared" si="12"/>
        <v>6.2636890088828643E-3</v>
      </c>
    </row>
    <row r="54" spans="1:4" x14ac:dyDescent="0.4">
      <c r="A54">
        <f t="shared" si="13"/>
        <v>0.16666666666666666</v>
      </c>
      <c r="B54">
        <v>4.0000000000000002E-4</v>
      </c>
      <c r="C54" s="1">
        <v>6.0545299999999998E-5</v>
      </c>
      <c r="D54">
        <f t="shared" si="12"/>
        <v>7.7810860424493439E-3</v>
      </c>
    </row>
    <row r="55" spans="1:4" x14ac:dyDescent="0.4">
      <c r="A55">
        <f t="shared" si="13"/>
        <v>0.16666666666666666</v>
      </c>
      <c r="B55">
        <v>8.0000000000000004E-4</v>
      </c>
      <c r="C55" s="1">
        <v>8.50807E-5</v>
      </c>
      <c r="D55">
        <f t="shared" si="12"/>
        <v>9.223919990979974E-3</v>
      </c>
    </row>
    <row r="56" spans="1:4" x14ac:dyDescent="0.4">
      <c r="A56">
        <f t="shared" si="13"/>
        <v>0.16666666666666666</v>
      </c>
      <c r="B56">
        <v>1E-3</v>
      </c>
      <c r="C56">
        <v>1.2590999999999999E-4</v>
      </c>
      <c r="D56">
        <f t="shared" si="12"/>
        <v>1.1220962525559026E-2</v>
      </c>
    </row>
    <row r="57" spans="1:4" x14ac:dyDescent="0.4">
      <c r="A57">
        <f t="shared" si="13"/>
        <v>0.16666666666666666</v>
      </c>
      <c r="B57">
        <v>2E-3</v>
      </c>
      <c r="C57">
        <v>3.6176300000000003E-4</v>
      </c>
      <c r="D57">
        <f t="shared" si="12"/>
        <v>1.9020068348983399E-2</v>
      </c>
    </row>
    <row r="58" spans="1:4" x14ac:dyDescent="0.4">
      <c r="A58">
        <f t="shared" si="13"/>
        <v>0.16666666666666666</v>
      </c>
      <c r="B58">
        <v>4.0000000000000001E-3</v>
      </c>
      <c r="C58">
        <v>8.4857300000000004E-4</v>
      </c>
      <c r="D58">
        <f t="shared" si="12"/>
        <v>2.9130276346097373E-2</v>
      </c>
    </row>
    <row r="59" spans="1:4" x14ac:dyDescent="0.4">
      <c r="A59">
        <f t="shared" si="13"/>
        <v>0.16666666666666666</v>
      </c>
      <c r="B59">
        <v>8.0000000000000002E-3</v>
      </c>
      <c r="C59">
        <v>1.82573E-3</v>
      </c>
      <c r="D59">
        <f t="shared" si="12"/>
        <v>4.2728561876103438E-2</v>
      </c>
    </row>
    <row r="60" spans="1:4" x14ac:dyDescent="0.4">
      <c r="A60">
        <f t="shared" si="13"/>
        <v>0.16666666666666666</v>
      </c>
      <c r="B60">
        <v>0.01</v>
      </c>
      <c r="C60">
        <v>2.31621E-3</v>
      </c>
      <c r="D60">
        <f t="shared" si="12"/>
        <v>4.8127019438149295E-2</v>
      </c>
    </row>
    <row r="61" spans="1:4" x14ac:dyDescent="0.4">
      <c r="A61">
        <f t="shared" si="13"/>
        <v>0.16666666666666666</v>
      </c>
      <c r="B61">
        <v>0.02</v>
      </c>
      <c r="C61">
        <v>4.7798900000000002E-3</v>
      </c>
      <c r="D61">
        <f t="shared" si="12"/>
        <v>6.9136748549523216E-2</v>
      </c>
    </row>
    <row r="62" spans="1:4" x14ac:dyDescent="0.4">
      <c r="A62">
        <f t="shared" si="13"/>
        <v>0.16666666666666666</v>
      </c>
      <c r="B62">
        <v>0.04</v>
      </c>
      <c r="C62">
        <v>9.7629899999999992E-3</v>
      </c>
      <c r="D62">
        <f t="shared" si="12"/>
        <v>9.8807843818190869E-2</v>
      </c>
    </row>
    <row r="63" spans="1:4" x14ac:dyDescent="0.4">
      <c r="A63">
        <f t="shared" si="13"/>
        <v>0.16666666666666666</v>
      </c>
      <c r="B63">
        <v>0.05</v>
      </c>
      <c r="C63">
        <v>1.2282E-2</v>
      </c>
      <c r="D63">
        <f t="shared" si="12"/>
        <v>0.11082418508610835</v>
      </c>
    </row>
    <row r="64" spans="1:4" x14ac:dyDescent="0.4">
      <c r="A64">
        <f t="shared" si="13"/>
        <v>0.16666666666666666</v>
      </c>
      <c r="B64">
        <v>0.1</v>
      </c>
      <c r="C64">
        <v>2.5190899999999999E-2</v>
      </c>
      <c r="D64">
        <f t="shared" si="12"/>
        <v>0.15871641376996898</v>
      </c>
    </row>
    <row r="65" spans="1:12" x14ac:dyDescent="0.4">
      <c r="A65">
        <f t="shared" si="13"/>
        <v>0.16666666666666666</v>
      </c>
      <c r="B65">
        <v>0.2</v>
      </c>
      <c r="C65">
        <v>5.1210899999999997E-2</v>
      </c>
      <c r="D65">
        <f t="shared" si="12"/>
        <v>0.22629825452265423</v>
      </c>
    </row>
    <row r="68" spans="1:12" x14ac:dyDescent="0.4">
      <c r="G68" t="s">
        <v>0</v>
      </c>
      <c r="H68" t="s">
        <v>1</v>
      </c>
      <c r="I68" t="s">
        <v>2</v>
      </c>
      <c r="J68" t="s">
        <v>4</v>
      </c>
      <c r="K68" t="s">
        <v>5</v>
      </c>
      <c r="L68" t="s">
        <v>6</v>
      </c>
    </row>
    <row r="69" spans="1:12" x14ac:dyDescent="0.4">
      <c r="G69">
        <v>0.08</v>
      </c>
      <c r="H69">
        <v>1E-4</v>
      </c>
      <c r="I69" s="1">
        <v>9.0320799999999998E-6</v>
      </c>
      <c r="J69">
        <f>LN(G69)</f>
        <v>-2.5257286443082556</v>
      </c>
      <c r="K69">
        <f>LN(H69)</f>
        <v>-9.2103403719761818</v>
      </c>
      <c r="L69">
        <f>LN(I69)</f>
        <v>-11.614727873760215</v>
      </c>
    </row>
    <row r="70" spans="1:12" x14ac:dyDescent="0.4">
      <c r="G70">
        <v>0.08</v>
      </c>
      <c r="H70">
        <v>2.0000000000000001E-4</v>
      </c>
      <c r="I70" s="1">
        <v>9.0320799999999998E-6</v>
      </c>
      <c r="J70">
        <f t="shared" ref="J70:J82" si="14">LN(G70)</f>
        <v>-2.5257286443082556</v>
      </c>
      <c r="K70">
        <f t="shared" ref="K70:K82" si="15">LN(H70)</f>
        <v>-8.5171931914162382</v>
      </c>
      <c r="L70">
        <f t="shared" ref="L70:L82" si="16">LN(I70)</f>
        <v>-11.614727873760215</v>
      </c>
    </row>
    <row r="71" spans="1:12" x14ac:dyDescent="0.4">
      <c r="G71">
        <v>0.08</v>
      </c>
      <c r="H71">
        <v>4.0000000000000002E-4</v>
      </c>
      <c r="I71" s="1">
        <v>5.6674E-5</v>
      </c>
      <c r="J71">
        <f t="shared" si="14"/>
        <v>-2.5257286443082556</v>
      </c>
      <c r="K71">
        <f t="shared" si="15"/>
        <v>-7.8240460108562919</v>
      </c>
      <c r="L71">
        <f t="shared" si="16"/>
        <v>-9.7781950061903959</v>
      </c>
    </row>
    <row r="72" spans="1:12" x14ac:dyDescent="0.4">
      <c r="G72">
        <v>0.08</v>
      </c>
      <c r="H72">
        <v>8.0000000000000004E-4</v>
      </c>
      <c r="I72">
        <v>1.39531E-4</v>
      </c>
      <c r="J72">
        <f t="shared" si="14"/>
        <v>-2.5257286443082556</v>
      </c>
      <c r="K72">
        <f t="shared" si="15"/>
        <v>-7.1308988302963465</v>
      </c>
      <c r="L72">
        <f t="shared" si="16"/>
        <v>-8.8772237591683325</v>
      </c>
    </row>
    <row r="73" spans="1:12" x14ac:dyDescent="0.4">
      <c r="G73">
        <v>0.08</v>
      </c>
      <c r="H73">
        <v>1E-3</v>
      </c>
      <c r="I73">
        <v>1.85157E-4</v>
      </c>
      <c r="J73">
        <f t="shared" si="14"/>
        <v>-2.5257286443082556</v>
      </c>
      <c r="K73">
        <f t="shared" si="15"/>
        <v>-6.9077552789821368</v>
      </c>
      <c r="L73">
        <f t="shared" si="16"/>
        <v>-8.5943064441359613</v>
      </c>
    </row>
    <row r="74" spans="1:12" x14ac:dyDescent="0.4">
      <c r="G74">
        <v>0.08</v>
      </c>
      <c r="H74">
        <v>2E-3</v>
      </c>
      <c r="I74">
        <v>4.0020099999999999E-4</v>
      </c>
      <c r="J74">
        <f t="shared" si="14"/>
        <v>-2.5257286443082556</v>
      </c>
      <c r="K74">
        <f t="shared" si="15"/>
        <v>-6.2146080984221914</v>
      </c>
      <c r="L74">
        <f t="shared" si="16"/>
        <v>-7.8235436370671385</v>
      </c>
    </row>
    <row r="75" spans="1:12" x14ac:dyDescent="0.4">
      <c r="G75">
        <v>0.08</v>
      </c>
      <c r="H75">
        <v>4.0000000000000001E-3</v>
      </c>
      <c r="I75">
        <v>8.33222E-4</v>
      </c>
      <c r="J75">
        <f t="shared" si="14"/>
        <v>-2.5257286443082556</v>
      </c>
      <c r="K75">
        <f t="shared" si="15"/>
        <v>-5.521460917862246</v>
      </c>
      <c r="L75">
        <f t="shared" si="16"/>
        <v>-7.0902104447013663</v>
      </c>
    </row>
    <row r="76" spans="1:12" x14ac:dyDescent="0.4">
      <c r="G76">
        <v>0.08</v>
      </c>
      <c r="H76">
        <v>8.0000000000000002E-3</v>
      </c>
      <c r="I76">
        <v>1.70437E-3</v>
      </c>
      <c r="J76">
        <f t="shared" si="14"/>
        <v>-2.5257286443082556</v>
      </c>
      <c r="K76">
        <f t="shared" si="15"/>
        <v>-4.8283137373023015</v>
      </c>
      <c r="L76">
        <f t="shared" si="16"/>
        <v>-6.37455973799542</v>
      </c>
    </row>
    <row r="77" spans="1:12" x14ac:dyDescent="0.4">
      <c r="G77">
        <v>0.08</v>
      </c>
      <c r="H77">
        <v>0.01</v>
      </c>
      <c r="I77">
        <v>2.1408400000000002E-3</v>
      </c>
      <c r="J77">
        <f t="shared" si="14"/>
        <v>-2.5257286443082556</v>
      </c>
      <c r="K77">
        <f t="shared" si="15"/>
        <v>-4.6051701859880909</v>
      </c>
      <c r="L77">
        <f t="shared" si="16"/>
        <v>-6.1465570036010337</v>
      </c>
    </row>
    <row r="78" spans="1:12" x14ac:dyDescent="0.4">
      <c r="G78">
        <v>0.08</v>
      </c>
      <c r="H78">
        <v>0.02</v>
      </c>
      <c r="I78">
        <v>4.3334999999999997E-3</v>
      </c>
      <c r="J78">
        <f t="shared" si="14"/>
        <v>-2.5257286443082556</v>
      </c>
      <c r="K78">
        <f t="shared" si="15"/>
        <v>-3.912023005428146</v>
      </c>
      <c r="L78">
        <f t="shared" si="16"/>
        <v>-5.4413797493898741</v>
      </c>
    </row>
    <row r="79" spans="1:12" x14ac:dyDescent="0.4">
      <c r="G79">
        <v>0.08</v>
      </c>
      <c r="H79">
        <v>0.04</v>
      </c>
      <c r="I79">
        <v>8.76591E-3</v>
      </c>
      <c r="J79">
        <f t="shared" si="14"/>
        <v>-2.5257286443082556</v>
      </c>
      <c r="K79">
        <f t="shared" si="15"/>
        <v>-3.2188758248682006</v>
      </c>
      <c r="L79">
        <f t="shared" si="16"/>
        <v>-4.7368849439786764</v>
      </c>
    </row>
    <row r="80" spans="1:12" x14ac:dyDescent="0.4">
      <c r="G80">
        <v>0.08</v>
      </c>
      <c r="H80">
        <v>0.05</v>
      </c>
      <c r="I80">
        <v>1.10098E-2</v>
      </c>
      <c r="J80">
        <f t="shared" si="14"/>
        <v>-2.5257286443082556</v>
      </c>
      <c r="K80">
        <f t="shared" si="15"/>
        <v>-2.9957322735539909</v>
      </c>
      <c r="L80">
        <f t="shared" si="16"/>
        <v>-4.5089694937168083</v>
      </c>
    </row>
    <row r="81" spans="7:12" x14ac:dyDescent="0.4">
      <c r="G81">
        <v>0.08</v>
      </c>
      <c r="H81">
        <v>0.1</v>
      </c>
      <c r="I81">
        <v>2.2514699999999999E-2</v>
      </c>
      <c r="J81">
        <f t="shared" si="14"/>
        <v>-2.5257286443082556</v>
      </c>
      <c r="K81">
        <f t="shared" si="15"/>
        <v>-2.3025850929940455</v>
      </c>
      <c r="L81">
        <f t="shared" si="16"/>
        <v>-3.7935868497677396</v>
      </c>
    </row>
    <row r="82" spans="7:12" x14ac:dyDescent="0.4">
      <c r="G82">
        <v>0.08</v>
      </c>
      <c r="H82">
        <v>0.2</v>
      </c>
      <c r="I82">
        <v>4.5741299999999999E-2</v>
      </c>
      <c r="J82">
        <f t="shared" si="14"/>
        <v>-2.5257286443082556</v>
      </c>
      <c r="K82">
        <f t="shared" si="15"/>
        <v>-1.6094379124341003</v>
      </c>
      <c r="L82">
        <f t="shared" si="16"/>
        <v>-3.0847536692784865</v>
      </c>
    </row>
    <row r="109" spans="7:12" x14ac:dyDescent="0.4">
      <c r="G109" t="s">
        <v>0</v>
      </c>
      <c r="H109" t="s">
        <v>1</v>
      </c>
      <c r="I109" t="s">
        <v>2</v>
      </c>
      <c r="J109" t="s">
        <v>4</v>
      </c>
      <c r="K109" t="s">
        <v>5</v>
      </c>
      <c r="L109" t="s">
        <v>6</v>
      </c>
    </row>
    <row r="110" spans="7:12" x14ac:dyDescent="0.4">
      <c r="G110">
        <f>2/12</f>
        <v>0.16666666666666666</v>
      </c>
      <c r="H110">
        <v>1E-4</v>
      </c>
      <c r="I110">
        <v>1.04188E-4</v>
      </c>
      <c r="J110">
        <f>LN(G110)</f>
        <v>-1.791759469228055</v>
      </c>
      <c r="K110">
        <f>LN(H110)</f>
        <v>-9.2103403719761818</v>
      </c>
      <c r="L110">
        <f>LN(I110)</f>
        <v>-9.1693135984245853</v>
      </c>
    </row>
    <row r="111" spans="7:12" x14ac:dyDescent="0.4">
      <c r="G111">
        <f t="shared" ref="G111:G123" si="17">2/12</f>
        <v>0.16666666666666666</v>
      </c>
      <c r="H111">
        <v>2.0000000000000001E-4</v>
      </c>
      <c r="I111" s="1">
        <v>3.9233799999999997E-5</v>
      </c>
      <c r="J111">
        <f t="shared" ref="J111:J123" si="18">LN(G111)</f>
        <v>-1.791759469228055</v>
      </c>
      <c r="K111">
        <f t="shared" ref="K111:K123" si="19">LN(H111)</f>
        <v>-8.5171931914162382</v>
      </c>
      <c r="L111">
        <f t="shared" ref="L111:L123" si="20">LN(I111)</f>
        <v>-10.145971937789485</v>
      </c>
    </row>
    <row r="112" spans="7:12" x14ac:dyDescent="0.4">
      <c r="G112">
        <f t="shared" si="17"/>
        <v>0.16666666666666666</v>
      </c>
      <c r="H112">
        <v>4.0000000000000002E-4</v>
      </c>
      <c r="I112" s="1">
        <v>6.0545299999999998E-5</v>
      </c>
      <c r="J112">
        <f t="shared" si="18"/>
        <v>-1.791759469228055</v>
      </c>
      <c r="K112">
        <f t="shared" si="19"/>
        <v>-7.8240460108562919</v>
      </c>
      <c r="L112">
        <f t="shared" si="20"/>
        <v>-9.7121187127780662</v>
      </c>
    </row>
    <row r="113" spans="7:12" x14ac:dyDescent="0.4">
      <c r="G113">
        <f t="shared" si="17"/>
        <v>0.16666666666666666</v>
      </c>
      <c r="H113">
        <v>8.0000000000000004E-4</v>
      </c>
      <c r="I113" s="1">
        <v>8.50807E-5</v>
      </c>
      <c r="J113">
        <f t="shared" si="18"/>
        <v>-1.791759469228055</v>
      </c>
      <c r="K113">
        <f t="shared" si="19"/>
        <v>-7.1308988302963465</v>
      </c>
      <c r="L113">
        <f t="shared" si="20"/>
        <v>-9.3719103401155426</v>
      </c>
    </row>
    <row r="114" spans="7:12" x14ac:dyDescent="0.4">
      <c r="G114">
        <f t="shared" si="17"/>
        <v>0.16666666666666666</v>
      </c>
      <c r="H114">
        <v>1E-3</v>
      </c>
      <c r="I114">
        <v>1.2590999999999999E-4</v>
      </c>
      <c r="J114">
        <f t="shared" si="18"/>
        <v>-1.791759469228055</v>
      </c>
      <c r="K114">
        <f t="shared" si="19"/>
        <v>-6.9077552789821368</v>
      </c>
      <c r="L114">
        <f t="shared" si="20"/>
        <v>-8.9799431919506656</v>
      </c>
    </row>
    <row r="115" spans="7:12" x14ac:dyDescent="0.4">
      <c r="G115">
        <f t="shared" si="17"/>
        <v>0.16666666666666666</v>
      </c>
      <c r="H115">
        <v>2E-3</v>
      </c>
      <c r="I115">
        <v>3.6176300000000003E-4</v>
      </c>
      <c r="J115">
        <f t="shared" si="18"/>
        <v>-1.791759469228055</v>
      </c>
      <c r="K115">
        <f t="shared" si="19"/>
        <v>-6.2146080984221914</v>
      </c>
      <c r="L115">
        <f t="shared" si="20"/>
        <v>-7.9245212566781991</v>
      </c>
    </row>
    <row r="116" spans="7:12" x14ac:dyDescent="0.4">
      <c r="G116">
        <f t="shared" si="17"/>
        <v>0.16666666666666666</v>
      </c>
      <c r="H116">
        <v>4.0000000000000001E-3</v>
      </c>
      <c r="I116">
        <v>8.4857300000000004E-4</v>
      </c>
      <c r="J116">
        <f t="shared" si="18"/>
        <v>-1.791759469228055</v>
      </c>
      <c r="K116">
        <f t="shared" si="19"/>
        <v>-5.521460917862246</v>
      </c>
      <c r="L116">
        <f t="shared" si="20"/>
        <v>-7.0719544428127596</v>
      </c>
    </row>
    <row r="117" spans="7:12" x14ac:dyDescent="0.4">
      <c r="G117">
        <f t="shared" si="17"/>
        <v>0.16666666666666666</v>
      </c>
      <c r="H117">
        <v>8.0000000000000002E-3</v>
      </c>
      <c r="I117">
        <v>1.82573E-3</v>
      </c>
      <c r="J117">
        <f t="shared" si="18"/>
        <v>-1.791759469228055</v>
      </c>
      <c r="K117">
        <f t="shared" si="19"/>
        <v>-4.8283137373023015</v>
      </c>
      <c r="L117">
        <f t="shared" si="20"/>
        <v>-6.3057753719263552</v>
      </c>
    </row>
    <row r="118" spans="7:12" x14ac:dyDescent="0.4">
      <c r="G118">
        <f t="shared" si="17"/>
        <v>0.16666666666666666</v>
      </c>
      <c r="H118">
        <v>0.01</v>
      </c>
      <c r="I118">
        <v>2.31621E-3</v>
      </c>
      <c r="J118">
        <f t="shared" si="18"/>
        <v>-1.791759469228055</v>
      </c>
      <c r="K118">
        <f t="shared" si="19"/>
        <v>-4.6051701859880909</v>
      </c>
      <c r="L118">
        <f t="shared" si="20"/>
        <v>-6.0678230498068588</v>
      </c>
    </row>
    <row r="119" spans="7:12" x14ac:dyDescent="0.4">
      <c r="G119">
        <f t="shared" si="17"/>
        <v>0.16666666666666666</v>
      </c>
      <c r="H119">
        <v>0.02</v>
      </c>
      <c r="I119">
        <v>4.7798900000000002E-3</v>
      </c>
      <c r="J119">
        <f t="shared" si="18"/>
        <v>-1.791759469228055</v>
      </c>
      <c r="K119">
        <f t="shared" si="19"/>
        <v>-3.912023005428146</v>
      </c>
      <c r="L119">
        <f t="shared" si="20"/>
        <v>-5.3433377452958668</v>
      </c>
    </row>
    <row r="120" spans="7:12" x14ac:dyDescent="0.4">
      <c r="G120">
        <f t="shared" si="17"/>
        <v>0.16666666666666666</v>
      </c>
      <c r="H120">
        <v>0.04</v>
      </c>
      <c r="I120">
        <v>9.7629899999999992E-3</v>
      </c>
      <c r="J120">
        <f t="shared" si="18"/>
        <v>-1.791759469228055</v>
      </c>
      <c r="K120">
        <f t="shared" si="19"/>
        <v>-3.2188758248682006</v>
      </c>
      <c r="L120">
        <f t="shared" si="20"/>
        <v>-4.6291565730144528</v>
      </c>
    </row>
    <row r="121" spans="7:12" x14ac:dyDescent="0.4">
      <c r="G121">
        <f t="shared" si="17"/>
        <v>0.16666666666666666</v>
      </c>
      <c r="H121">
        <v>0.05</v>
      </c>
      <c r="I121">
        <v>1.2282E-2</v>
      </c>
      <c r="J121">
        <f t="shared" si="18"/>
        <v>-1.791759469228055</v>
      </c>
      <c r="K121">
        <f t="shared" si="19"/>
        <v>-2.9957322735539909</v>
      </c>
      <c r="L121">
        <f t="shared" si="20"/>
        <v>-4.3996205030749298</v>
      </c>
    </row>
    <row r="122" spans="7:12" x14ac:dyDescent="0.4">
      <c r="G122">
        <f t="shared" si="17"/>
        <v>0.16666666666666666</v>
      </c>
      <c r="H122">
        <v>0.1</v>
      </c>
      <c r="I122">
        <v>2.5190899999999999E-2</v>
      </c>
      <c r="J122">
        <f t="shared" si="18"/>
        <v>-1.791759469228055</v>
      </c>
      <c r="K122">
        <f t="shared" si="19"/>
        <v>-2.3025850929940455</v>
      </c>
      <c r="L122">
        <f t="shared" si="20"/>
        <v>-3.6812724607921887</v>
      </c>
    </row>
    <row r="123" spans="7:12" x14ac:dyDescent="0.4">
      <c r="G123">
        <f t="shared" si="17"/>
        <v>0.16666666666666666</v>
      </c>
      <c r="H123">
        <v>0.2</v>
      </c>
      <c r="I123">
        <v>5.1210899999999997E-2</v>
      </c>
      <c r="J123">
        <f t="shared" si="18"/>
        <v>-1.791759469228055</v>
      </c>
      <c r="K123">
        <f t="shared" si="19"/>
        <v>-1.6094379124341003</v>
      </c>
      <c r="L123">
        <f t="shared" si="20"/>
        <v>-2.9718028789696684</v>
      </c>
    </row>
    <row r="148" spans="7:12" x14ac:dyDescent="0.4">
      <c r="G148" t="s">
        <v>0</v>
      </c>
      <c r="H148" t="s">
        <v>1</v>
      </c>
      <c r="I148" t="s">
        <v>2</v>
      </c>
      <c r="J148" t="s">
        <v>4</v>
      </c>
      <c r="K148" t="s">
        <v>5</v>
      </c>
      <c r="L148" t="s">
        <v>6</v>
      </c>
    </row>
    <row r="149" spans="7:12" x14ac:dyDescent="0.4">
      <c r="G149">
        <v>0.01</v>
      </c>
      <c r="H149">
        <v>0.01</v>
      </c>
      <c r="I149">
        <v>4.54676E-4</v>
      </c>
      <c r="J149">
        <f t="shared" ref="J149:L153" si="21">LN(G149)</f>
        <v>-4.6051701859880909</v>
      </c>
      <c r="K149">
        <f t="shared" si="21"/>
        <v>-4.6051701859880909</v>
      </c>
      <c r="L149">
        <f t="shared" si="21"/>
        <v>-7.6959254805804322</v>
      </c>
    </row>
    <row r="150" spans="7:12" x14ac:dyDescent="0.4">
      <c r="G150">
        <v>0.02</v>
      </c>
      <c r="H150">
        <v>0.01</v>
      </c>
      <c r="I150" s="1">
        <v>8.5136599999999999E-4</v>
      </c>
      <c r="J150">
        <f t="shared" si="21"/>
        <v>-3.912023005428146</v>
      </c>
      <c r="K150">
        <f t="shared" si="21"/>
        <v>-4.6051701859880909</v>
      </c>
      <c r="L150">
        <f t="shared" si="21"/>
        <v>-7.068668439593595</v>
      </c>
    </row>
    <row r="151" spans="7:12" x14ac:dyDescent="0.4">
      <c r="G151">
        <v>0.04</v>
      </c>
      <c r="H151">
        <v>0.01</v>
      </c>
      <c r="I151">
        <v>1.4866199999999999E-3</v>
      </c>
      <c r="J151">
        <f t="shared" si="21"/>
        <v>-3.2188758248682006</v>
      </c>
      <c r="K151">
        <f t="shared" si="21"/>
        <v>-4.6051701859880909</v>
      </c>
      <c r="L151">
        <f t="shared" si="21"/>
        <v>-6.511250192245484</v>
      </c>
    </row>
    <row r="152" spans="7:12" x14ac:dyDescent="0.4">
      <c r="G152">
        <v>0.08</v>
      </c>
      <c r="H152">
        <v>0.01</v>
      </c>
      <c r="I152">
        <v>2.1408400000000002E-3</v>
      </c>
      <c r="J152">
        <f t="shared" si="21"/>
        <v>-2.5257286443082556</v>
      </c>
      <c r="K152">
        <f t="shared" si="21"/>
        <v>-4.6051701859880909</v>
      </c>
      <c r="L152">
        <f t="shared" si="21"/>
        <v>-6.1465570036010337</v>
      </c>
    </row>
    <row r="153" spans="7:12" x14ac:dyDescent="0.4">
      <c r="G153">
        <f t="shared" ref="G153" si="22">2/12</f>
        <v>0.16666666666666666</v>
      </c>
      <c r="H153">
        <v>0.01</v>
      </c>
      <c r="I153">
        <v>2.31621E-3</v>
      </c>
      <c r="J153">
        <f t="shared" si="21"/>
        <v>-1.791759469228055</v>
      </c>
      <c r="K153">
        <f t="shared" si="21"/>
        <v>-4.6051701859880909</v>
      </c>
      <c r="L153">
        <f t="shared" si="21"/>
        <v>-6.0678230498068588</v>
      </c>
    </row>
    <row r="180" spans="7:12" x14ac:dyDescent="0.4">
      <c r="G180" t="s">
        <v>9</v>
      </c>
    </row>
    <row r="181" spans="7:12" x14ac:dyDescent="0.4">
      <c r="G181" t="s">
        <v>0</v>
      </c>
      <c r="H181" t="s">
        <v>1</v>
      </c>
      <c r="I181" t="s">
        <v>2</v>
      </c>
      <c r="J181" t="s">
        <v>4</v>
      </c>
      <c r="K181" t="s">
        <v>5</v>
      </c>
      <c r="L181" t="s">
        <v>6</v>
      </c>
    </row>
    <row r="182" spans="7:12" x14ac:dyDescent="0.4">
      <c r="G182">
        <v>0.04</v>
      </c>
      <c r="H182">
        <v>0.1</v>
      </c>
      <c r="I182">
        <v>1.47208E-3</v>
      </c>
      <c r="J182">
        <f>LN(G182)</f>
        <v>-3.2188758248682006</v>
      </c>
      <c r="K182">
        <f t="shared" ref="K182:L182" si="23">LN(H182)</f>
        <v>-2.3025850929940455</v>
      </c>
      <c r="L182">
        <f t="shared" si="23"/>
        <v>-6.5210789123261552</v>
      </c>
    </row>
    <row r="183" spans="7:12" x14ac:dyDescent="0.4">
      <c r="G183">
        <v>0.04</v>
      </c>
      <c r="H183">
        <v>0.05</v>
      </c>
      <c r="I183">
        <v>7.0015099999999999E-4</v>
      </c>
      <c r="J183">
        <f t="shared" ref="J183:J186" si="24">LN(G183)</f>
        <v>-3.2188758248682006</v>
      </c>
      <c r="K183">
        <f t="shared" ref="K183:K186" si="25">LN(H183)</f>
        <v>-2.9957322735539909</v>
      </c>
      <c r="L183">
        <f t="shared" ref="L183:L186" si="26">LN(I183)</f>
        <v>-7.2642145318981362</v>
      </c>
    </row>
    <row r="184" spans="7:12" x14ac:dyDescent="0.4">
      <c r="G184">
        <v>0.04</v>
      </c>
      <c r="H184">
        <v>2.5000000000000001E-2</v>
      </c>
      <c r="I184">
        <v>3.4486100000000002E-4</v>
      </c>
      <c r="J184">
        <f t="shared" si="24"/>
        <v>-3.2188758248682006</v>
      </c>
      <c r="K184">
        <f t="shared" si="25"/>
        <v>-3.6888794541139363</v>
      </c>
      <c r="L184">
        <f t="shared" si="26"/>
        <v>-7.9723691206690672</v>
      </c>
    </row>
    <row r="185" spans="7:12" x14ac:dyDescent="0.4">
      <c r="G185">
        <v>0.04</v>
      </c>
      <c r="H185">
        <v>1.2500000000000001E-2</v>
      </c>
      <c r="I185">
        <v>1.7113299999999999E-4</v>
      </c>
      <c r="J185">
        <f t="shared" si="24"/>
        <v>-3.2188758248682006</v>
      </c>
      <c r="K185">
        <f t="shared" si="25"/>
        <v>-4.3820266346738812</v>
      </c>
      <c r="L185">
        <f t="shared" si="26"/>
        <v>-8.6730695259962278</v>
      </c>
    </row>
    <row r="186" spans="7:12" x14ac:dyDescent="0.4">
      <c r="G186">
        <v>0.04</v>
      </c>
      <c r="H186">
        <v>6.2500000000000003E-3</v>
      </c>
      <c r="I186" s="1">
        <v>8.4321599999999996E-5</v>
      </c>
      <c r="J186">
        <f t="shared" si="24"/>
        <v>-3.2188758248682006</v>
      </c>
      <c r="K186">
        <f t="shared" si="25"/>
        <v>-5.0751738152338266</v>
      </c>
      <c r="L186">
        <f t="shared" si="26"/>
        <v>-9.3808724980191833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Xwill Newt</dc:creator>
  <cp:lastModifiedBy>Xwill Newt</cp:lastModifiedBy>
  <dcterms:created xsi:type="dcterms:W3CDTF">2015-06-05T18:19:34Z</dcterms:created>
  <dcterms:modified xsi:type="dcterms:W3CDTF">2025-12-22T05:05:37Z</dcterms:modified>
</cp:coreProperties>
</file>